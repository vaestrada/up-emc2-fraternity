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a1ff4c6410c7cf7/Documents/Desktop/UP EMC² FILES/SPORTSFEST/"/>
    </mc:Choice>
  </mc:AlternateContent>
  <xr:revisionPtr revIDLastSave="2361" documentId="8_{098D7569-50C6-4524-ADBD-E0D3393BE84F}" xr6:coauthVersionLast="47" xr6:coauthVersionMax="47" xr10:uidLastSave="{1D4D4679-3E83-4286-8B32-74609CA64014}"/>
  <bookViews>
    <workbookView xWindow="-108" yWindow="-108" windowWidth="23256" windowHeight="12456" xr2:uid="{044E3C9C-478D-4653-BAEE-3976DFB70571}"/>
  </bookViews>
  <sheets>
    <sheet name="TEAMS" sheetId="9" r:id="rId1"/>
    <sheet name="LIST UPDATED" sheetId="12" r:id="rId2"/>
    <sheet name="MASTERLIST" sheetId="20" r:id="rId3"/>
    <sheet name="EXPENSES" sheetId="3" r:id="rId4"/>
    <sheet name="SUMMARY" sheetId="19" r:id="rId5"/>
    <sheet name="JERSEY" sheetId="21" r:id="rId6"/>
  </sheets>
  <definedNames>
    <definedName name="_xlnm._FilterDatabase" localSheetId="2" hidden="1">MASTERLIST!$A$1:$J$57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1" l="1"/>
  <c r="E12" i="21"/>
  <c r="D7" i="21"/>
  <c r="E7" i="21"/>
  <c r="F7" i="21"/>
  <c r="G7" i="21"/>
  <c r="H7" i="21"/>
  <c r="I7" i="21"/>
  <c r="J7" i="21"/>
  <c r="K7" i="21"/>
  <c r="L7" i="21"/>
  <c r="C7" i="21"/>
  <c r="M29" i="19"/>
  <c r="M39" i="19" l="1"/>
  <c r="M23" i="19"/>
  <c r="M24" i="19" s="1"/>
  <c r="M31" i="19" l="1"/>
  <c r="K57" i="20"/>
  <c r="F34" i="19"/>
  <c r="F33" i="19"/>
  <c r="F14" i="19"/>
  <c r="F38" i="19" l="1"/>
  <c r="F21" i="19"/>
  <c r="C20" i="3"/>
  <c r="C14" i="3"/>
  <c r="C13" i="3"/>
  <c r="C5" i="3"/>
  <c r="F40" i="19" l="1"/>
  <c r="C44" i="3"/>
</calcChain>
</file>

<file path=xl/sharedStrings.xml><?xml version="1.0" encoding="utf-8"?>
<sst xmlns="http://schemas.openxmlformats.org/spreadsheetml/2006/main" count="723" uniqueCount="347">
  <si>
    <t>BADMINTON</t>
  </si>
  <si>
    <t>BASKETBALL</t>
  </si>
  <si>
    <t>BOWLING</t>
  </si>
  <si>
    <t>VENUE (4HRS)</t>
  </si>
  <si>
    <t>BASIC SOUND</t>
  </si>
  <si>
    <t>PROJECTOR</t>
  </si>
  <si>
    <t>5XL</t>
  </si>
  <si>
    <t>3XL</t>
  </si>
  <si>
    <t>2XL</t>
  </si>
  <si>
    <t>XL</t>
  </si>
  <si>
    <t>XS</t>
  </si>
  <si>
    <t>L</t>
  </si>
  <si>
    <t>M</t>
  </si>
  <si>
    <t>S</t>
  </si>
  <si>
    <t>PARTICULAR</t>
  </si>
  <si>
    <t>AMOUNT</t>
  </si>
  <si>
    <t>paid</t>
  </si>
  <si>
    <t>PAOLO</t>
  </si>
  <si>
    <t>ISAIAH</t>
  </si>
  <si>
    <t>HAROULD MADERA</t>
  </si>
  <si>
    <t xml:space="preserve">DANIELL TAN </t>
  </si>
  <si>
    <t>ENRICO MONTEFALCO</t>
  </si>
  <si>
    <t>NIÑO LOUISE DE TORRES</t>
  </si>
  <si>
    <t>KARL BRYAN TAMAYAO</t>
  </si>
  <si>
    <t>RAFAEL CARL REYES</t>
  </si>
  <si>
    <t>TOM SHA</t>
  </si>
  <si>
    <t>RAYMOND PINGOL</t>
  </si>
  <si>
    <t>BELVEDERA MATA (BELOY)</t>
  </si>
  <si>
    <t>JOSEPH DE LEON</t>
  </si>
  <si>
    <t>DONNARD SAYCO</t>
  </si>
  <si>
    <t>VIC POBRE</t>
  </si>
  <si>
    <t>ERICKSON SALANGUIT</t>
  </si>
  <si>
    <t xml:space="preserve">MARK ARVIN TRAJANO </t>
  </si>
  <si>
    <t>LEMUEL ISON</t>
  </si>
  <si>
    <t>EDVIM COTONER</t>
  </si>
  <si>
    <t>NATHAN ESTRADA</t>
  </si>
  <si>
    <t>PHILLIP GALACIO</t>
  </si>
  <si>
    <t xml:space="preserve">PAUL OCCIANO </t>
  </si>
  <si>
    <t>XANI NOLI MALLAPRE</t>
  </si>
  <si>
    <t>FRANCIS GREGORIO</t>
  </si>
  <si>
    <t xml:space="preserve">JOSHUA MORENO </t>
  </si>
  <si>
    <t>RICO BUENAGUA</t>
  </si>
  <si>
    <t xml:space="preserve">JOONEE MANIPON </t>
  </si>
  <si>
    <t>RICHMOND MANALAD</t>
  </si>
  <si>
    <t>DIGS</t>
  </si>
  <si>
    <t>ROY CORNISTA</t>
  </si>
  <si>
    <t>ERWIN PEREZ</t>
  </si>
  <si>
    <t xml:space="preserve">PAOLO DANILA </t>
  </si>
  <si>
    <t>TED MEDINA JR.</t>
  </si>
  <si>
    <t>JHAGESON LANCE ESCOTO</t>
  </si>
  <si>
    <t xml:space="preserve">ISAIAH </t>
  </si>
  <si>
    <t>ROCHIE AMOLATO</t>
  </si>
  <si>
    <t>ERNIE BALAGTAS</t>
  </si>
  <si>
    <t>ISAIAH SUNGA</t>
  </si>
  <si>
    <t>WILLIAM WINDSOR CIOCON</t>
  </si>
  <si>
    <t>JANRY DIMAANO</t>
  </si>
  <si>
    <t>AMANTE CALUYA</t>
  </si>
  <si>
    <t xml:space="preserve">GIAN BATURIANO </t>
  </si>
  <si>
    <t>ISAAC DATU</t>
  </si>
  <si>
    <t>ERL GUANZON</t>
  </si>
  <si>
    <t>RUVER MATTHEW ABANTO</t>
  </si>
  <si>
    <t>SIZE</t>
  </si>
  <si>
    <t>AL JOHN LOZANO</t>
  </si>
  <si>
    <t>CHRISTIAN OWEN BARBA</t>
  </si>
  <si>
    <t>FELLOWSHIP ATTENDEE</t>
  </si>
  <si>
    <t>CHASE ROBIN TAN</t>
  </si>
  <si>
    <t>JOHN OSCAR COTONER</t>
  </si>
  <si>
    <t>VIM ANDREJ COTONER</t>
  </si>
  <si>
    <t>AMOLATO'S WIFE</t>
  </si>
  <si>
    <t>JOYCE MANALOTO</t>
  </si>
  <si>
    <t>FRANCESCA ESTRELLA</t>
  </si>
  <si>
    <t>APRIL PINGOL</t>
  </si>
  <si>
    <t>SUSAN MONTEFALCO</t>
  </si>
  <si>
    <t>RICA DIMAANO</t>
  </si>
  <si>
    <t>HEIDE ISON</t>
  </si>
  <si>
    <t>MARICAR PENULIAR</t>
  </si>
  <si>
    <t>JONA</t>
  </si>
  <si>
    <t>CHA PEREZ</t>
  </si>
  <si>
    <t>PATRICIA PEREZ</t>
  </si>
  <si>
    <t>COMPANION</t>
  </si>
  <si>
    <t>TOTAL</t>
  </si>
  <si>
    <t>REFEREE</t>
  </si>
  <si>
    <t>TEAM BLACK</t>
  </si>
  <si>
    <t>TEAM WHITE</t>
  </si>
  <si>
    <t>TEAM GREEN</t>
  </si>
  <si>
    <t>TEAM GOLD</t>
  </si>
  <si>
    <t>ROSS OLALIA</t>
  </si>
  <si>
    <t xml:space="preserve">BASKETBALL </t>
  </si>
  <si>
    <t>PLAYERS</t>
  </si>
  <si>
    <t>NON-PLAYERS</t>
  </si>
  <si>
    <t>NAME</t>
  </si>
  <si>
    <t>KEITH GAVIN MATA</t>
  </si>
  <si>
    <t>JOYCE MATA</t>
  </si>
  <si>
    <t>MISCHA GWEN MATA</t>
  </si>
  <si>
    <t>ANDY SALANGUIT</t>
  </si>
  <si>
    <t>JERLYN COTONER</t>
  </si>
  <si>
    <t>NIKKI PEREZ</t>
  </si>
  <si>
    <t>RAYA PINGOL</t>
  </si>
  <si>
    <t xml:space="preserve">TED KATIGBAK </t>
  </si>
  <si>
    <t xml:space="preserve">UNO DIMAANO </t>
  </si>
  <si>
    <t>EVAN JOSEPH BRUTAS</t>
  </si>
  <si>
    <t>IVY POBRE</t>
  </si>
  <si>
    <t>ANIKA POBRE</t>
  </si>
  <si>
    <t>NAYA POBRE</t>
  </si>
  <si>
    <t>AVA ISON</t>
  </si>
  <si>
    <t>DIGS ARCILLA</t>
  </si>
  <si>
    <t xml:space="preserve"> </t>
  </si>
  <si>
    <t>GERD</t>
  </si>
  <si>
    <t>JM</t>
  </si>
  <si>
    <t>SURNAME</t>
  </si>
  <si>
    <t xml:space="preserve">STATUS </t>
  </si>
  <si>
    <t>MOP</t>
  </si>
  <si>
    <t>ABANTO</t>
  </si>
  <si>
    <t>RUVER MATTHEW</t>
  </si>
  <si>
    <t xml:space="preserve">AMOLATO </t>
  </si>
  <si>
    <t>ROCHIE</t>
  </si>
  <si>
    <t>BALAGTAS</t>
  </si>
  <si>
    <t>ERNIE</t>
  </si>
  <si>
    <t>gcash</t>
  </si>
  <si>
    <t>BATURIANO</t>
  </si>
  <si>
    <t>GIAN</t>
  </si>
  <si>
    <t>BRUTAS</t>
  </si>
  <si>
    <t>EVAN JOSEPH</t>
  </si>
  <si>
    <t>BUENAGUA</t>
  </si>
  <si>
    <t>RICO</t>
  </si>
  <si>
    <t>CALUYA</t>
  </si>
  <si>
    <t>AMANTE</t>
  </si>
  <si>
    <t>CIOCON</t>
  </si>
  <si>
    <t>WILLIAM WINDSOR</t>
  </si>
  <si>
    <t>CORNISTA</t>
  </si>
  <si>
    <t>ROY</t>
  </si>
  <si>
    <t>COTONER</t>
  </si>
  <si>
    <t>EDVIM</t>
  </si>
  <si>
    <t>DANILA</t>
  </si>
  <si>
    <t>DATU</t>
  </si>
  <si>
    <t>ISAAC</t>
  </si>
  <si>
    <t>DE LEON</t>
  </si>
  <si>
    <t>JOSEPH</t>
  </si>
  <si>
    <t>DE TORRES</t>
  </si>
  <si>
    <t>NIÑO LOUISE</t>
  </si>
  <si>
    <t>DIMAANO</t>
  </si>
  <si>
    <t>JANRY</t>
  </si>
  <si>
    <t>ESCOTO</t>
  </si>
  <si>
    <t>JHAGESON LANCE</t>
  </si>
  <si>
    <t>ESTRADA</t>
  </si>
  <si>
    <t>NATHAN</t>
  </si>
  <si>
    <t>GALACIO</t>
  </si>
  <si>
    <t>PHILLIP</t>
  </si>
  <si>
    <t>GREGORIO</t>
  </si>
  <si>
    <t>FRANCIS</t>
  </si>
  <si>
    <t>GUANZON</t>
  </si>
  <si>
    <t>ERL</t>
  </si>
  <si>
    <t>ISON</t>
  </si>
  <si>
    <t>LEMUEL</t>
  </si>
  <si>
    <t>bank</t>
  </si>
  <si>
    <t>MALLAPRE</t>
  </si>
  <si>
    <t>XANI NOLI</t>
  </si>
  <si>
    <t>MANALAD</t>
  </si>
  <si>
    <t>RICHMOND</t>
  </si>
  <si>
    <t>HAROULD</t>
  </si>
  <si>
    <t>MANIPON</t>
  </si>
  <si>
    <t>JOONEE</t>
  </si>
  <si>
    <t>MATA</t>
  </si>
  <si>
    <t>BELVEDERE</t>
  </si>
  <si>
    <t>MEDINA JR.</t>
  </si>
  <si>
    <t>TED</t>
  </si>
  <si>
    <t>ENRICO</t>
  </si>
  <si>
    <t>cash</t>
  </si>
  <si>
    <t>MORENO</t>
  </si>
  <si>
    <t>JOSHUA</t>
  </si>
  <si>
    <t>OCCIANO</t>
  </si>
  <si>
    <t>PAUL</t>
  </si>
  <si>
    <t>OLALIA</t>
  </si>
  <si>
    <t>ROSS</t>
  </si>
  <si>
    <t>PEREZ</t>
  </si>
  <si>
    <t>ERWIN</t>
  </si>
  <si>
    <t>PINGOL</t>
  </si>
  <si>
    <t>RAYMOND</t>
  </si>
  <si>
    <t>POBRE</t>
  </si>
  <si>
    <t>VIC</t>
  </si>
  <si>
    <t>REYES</t>
  </si>
  <si>
    <t>RAFAEL CARL</t>
  </si>
  <si>
    <t>SALANGUIT</t>
  </si>
  <si>
    <t>ERICKSON</t>
  </si>
  <si>
    <t>SAYCO</t>
  </si>
  <si>
    <t>DONNARD</t>
  </si>
  <si>
    <t>SHA</t>
  </si>
  <si>
    <t>TOM</t>
  </si>
  <si>
    <t>SUNGA</t>
  </si>
  <si>
    <t>TAMAYAO</t>
  </si>
  <si>
    <t>KARL BRYAN</t>
  </si>
  <si>
    <t>TAN</t>
  </si>
  <si>
    <t>DANIELL</t>
  </si>
  <si>
    <t>TRAJANO</t>
  </si>
  <si>
    <t>MARK ARVIN</t>
  </si>
  <si>
    <t>ARCILLA</t>
  </si>
  <si>
    <t>BARBA</t>
  </si>
  <si>
    <t>CHRISTIAN OWEN</t>
  </si>
  <si>
    <t>LOZANO</t>
  </si>
  <si>
    <t>AL JOHN</t>
  </si>
  <si>
    <t xml:space="preserve">GERD </t>
  </si>
  <si>
    <t xml:space="preserve">AMOLATO'S WIFE </t>
  </si>
  <si>
    <t>UNO DIMAANO</t>
  </si>
  <si>
    <t>KEITH MATA</t>
  </si>
  <si>
    <t>MISCHA MATA</t>
  </si>
  <si>
    <t xml:space="preserve">TEN KATIGBAK </t>
  </si>
  <si>
    <t xml:space="preserve">CHASE ROBIN TAN </t>
  </si>
  <si>
    <t>NO.</t>
  </si>
  <si>
    <t>WIFE / PARTNER</t>
  </si>
  <si>
    <t xml:space="preserve">DAUGHTER / SON </t>
  </si>
  <si>
    <t>BOWLING SHOES</t>
  </si>
  <si>
    <t>FOODS (1,045*80PAX)</t>
  </si>
  <si>
    <t xml:space="preserve">BADMINTON </t>
  </si>
  <si>
    <t>UITLITY FEE</t>
  </si>
  <si>
    <t xml:space="preserve">LONG TABLES </t>
  </si>
  <si>
    <t>TROPHIES AND MEDALS</t>
  </si>
  <si>
    <t>APPLIANCES DELIVERY FEE</t>
  </si>
  <si>
    <t>DELIVERY FEE</t>
  </si>
  <si>
    <t>TARPULIN</t>
  </si>
  <si>
    <t>PLASTIC CUPS</t>
  </si>
  <si>
    <t>BALLOONS (4 COLORS)</t>
  </si>
  <si>
    <t>SHUTTLECOCK</t>
  </si>
  <si>
    <t>INFLATING NEEDLES</t>
  </si>
  <si>
    <t>PLAIN RICE</t>
  </si>
  <si>
    <t xml:space="preserve">PIZZA </t>
  </si>
  <si>
    <t>WATER</t>
  </si>
  <si>
    <t>TOTAL EXPENSES</t>
  </si>
  <si>
    <t>GABRIEL DE LEON</t>
  </si>
  <si>
    <t>LEM ISON</t>
  </si>
  <si>
    <t>not attended</t>
  </si>
  <si>
    <t>MADERA</t>
  </si>
  <si>
    <t xml:space="preserve">resident </t>
  </si>
  <si>
    <t>resident</t>
  </si>
  <si>
    <t>SOLOMON</t>
  </si>
  <si>
    <t>JOBO</t>
  </si>
  <si>
    <t>TOTAL AMOUNT OF CASH COLLECTIONS</t>
  </si>
  <si>
    <t>BATCH 2000 - OCT 2025 DUES</t>
  </si>
  <si>
    <t>PARTICIPANTS</t>
  </si>
  <si>
    <t>TOTAL AMOUNT OF GCASH COLLECTIONS</t>
  </si>
  <si>
    <t xml:space="preserve">NATHAN ESTRADA </t>
  </si>
  <si>
    <t>BOWLING SHOES (BLACK TEAM)</t>
  </si>
  <si>
    <t>no jersey</t>
  </si>
  <si>
    <t>BOWLING SHOES (GREEN TEAM)</t>
  </si>
  <si>
    <t>LESS EXPENSES:</t>
  </si>
  <si>
    <t xml:space="preserve">REFEREE </t>
  </si>
  <si>
    <t xml:space="preserve">CORKAGE </t>
  </si>
  <si>
    <t>FRUITAS (PHP 85*5pcs)</t>
  </si>
  <si>
    <t>FRUITAS (PHP 85*2pcs)</t>
  </si>
  <si>
    <t xml:space="preserve">POTATO CORNER </t>
  </si>
  <si>
    <t>TRANPORTATION (ELLA)</t>
  </si>
  <si>
    <t>TRANPORTATION (ALLY)</t>
  </si>
  <si>
    <t>TIP FOR HAPCHAN STAFF</t>
  </si>
  <si>
    <t>OTHER CASH PAYMENT</t>
  </si>
  <si>
    <t>OTHER GCASH PAYMENT</t>
  </si>
  <si>
    <t>TOTAL AMOUNT CASH ON HAND</t>
  </si>
  <si>
    <t>SCOREBOOKS</t>
  </si>
  <si>
    <t>CORKAGE</t>
  </si>
  <si>
    <t xml:space="preserve">BOTTLED WATER </t>
  </si>
  <si>
    <t>TARPULIN DELIVERY FEE</t>
  </si>
  <si>
    <t>QUANTUMLEAP SPORTSFEST EXPENSES</t>
  </si>
  <si>
    <t>MONTEFALCON</t>
  </si>
  <si>
    <t xml:space="preserve">COMMITTEE </t>
  </si>
  <si>
    <t xml:space="preserve">bank </t>
  </si>
  <si>
    <t>TOTAL AMOUNT OF BANK ACCOUNT COLLECTIONS</t>
  </si>
  <si>
    <t>BATCH 2010'S (sponsorship)</t>
  </si>
  <si>
    <t>BATCH 90'S (sponsorship)</t>
  </si>
  <si>
    <t>BATCH 80'S (sponsorship)</t>
  </si>
  <si>
    <t>Erl Guanzon</t>
  </si>
  <si>
    <t>Ross Olalia</t>
  </si>
  <si>
    <t>Ten Katikbak</t>
  </si>
  <si>
    <t>Ernie Balagtas</t>
  </si>
  <si>
    <t>Rochie Amolato</t>
  </si>
  <si>
    <t>Amolato's Wife</t>
  </si>
  <si>
    <t>Roy Cornista</t>
  </si>
  <si>
    <t>Janry Dimaano</t>
  </si>
  <si>
    <t>Rica Dimaano</t>
  </si>
  <si>
    <t>Ted Medina</t>
  </si>
  <si>
    <t>Karl Tamayao</t>
  </si>
  <si>
    <t>Enrico Montefalco</t>
  </si>
  <si>
    <t>Susan Montefalco</t>
  </si>
  <si>
    <t>Richmond Manalad</t>
  </si>
  <si>
    <t>Amante Caluya</t>
  </si>
  <si>
    <t>Jorge Solomon</t>
  </si>
  <si>
    <t>Isaiah Sunga</t>
  </si>
  <si>
    <t>Evan Brutas</t>
  </si>
  <si>
    <t>Paolo Danila</t>
  </si>
  <si>
    <t>Donnard Sayco</t>
  </si>
  <si>
    <t>Erwin Perez</t>
  </si>
  <si>
    <t>Cha Perez</t>
  </si>
  <si>
    <t>Patricia Perez</t>
  </si>
  <si>
    <t>Gian Baturiano</t>
  </si>
  <si>
    <t>Joshua Moreno</t>
  </si>
  <si>
    <t>Tom Sha</t>
  </si>
  <si>
    <t>Nathan Estrada</t>
  </si>
  <si>
    <t>Maricar Penuliar</t>
  </si>
  <si>
    <t>Paul Occiano</t>
  </si>
  <si>
    <t>Mark Arvin Trajano</t>
  </si>
  <si>
    <t>Jhageson Lance Escoto</t>
  </si>
  <si>
    <t>William Ciocon</t>
  </si>
  <si>
    <t>Francis Gregorio</t>
  </si>
  <si>
    <t>Raymond Pingol</t>
  </si>
  <si>
    <t>April Pingol</t>
  </si>
  <si>
    <t>Joseph De Leon</t>
  </si>
  <si>
    <t>Erap's Son</t>
  </si>
  <si>
    <t>Joonee Manipon</t>
  </si>
  <si>
    <t>Beldevera Mata</t>
  </si>
  <si>
    <t>Keith Gavin</t>
  </si>
  <si>
    <t>Mischa Gwen</t>
  </si>
  <si>
    <t>Ruver Matthew Abanto</t>
  </si>
  <si>
    <t>Xani Noli Mallapre</t>
  </si>
  <si>
    <t>Lemuel Ison</t>
  </si>
  <si>
    <t>Heide Ison</t>
  </si>
  <si>
    <t>Nino Louise De Torres</t>
  </si>
  <si>
    <t>Erickson Salanguit</t>
  </si>
  <si>
    <t>Miguel Datu</t>
  </si>
  <si>
    <t>Philip Galacio</t>
  </si>
  <si>
    <t>Joyce Manaloto</t>
  </si>
  <si>
    <t>Edvim Cotoner</t>
  </si>
  <si>
    <t>John Oscar Cotoner</t>
  </si>
  <si>
    <t>Vim Andrej Cotoner</t>
  </si>
  <si>
    <t>Rico Buenagua</t>
  </si>
  <si>
    <t>Vic Pobre</t>
  </si>
  <si>
    <t>Harould Madera</t>
  </si>
  <si>
    <t>Francesca Estrella</t>
  </si>
  <si>
    <t>Daniel Tan</t>
  </si>
  <si>
    <t>Chase Robin Tan</t>
  </si>
  <si>
    <t>Rafael Carl Reyes</t>
  </si>
  <si>
    <t xml:space="preserve">BATCH 70'S (sponsorship) </t>
  </si>
  <si>
    <t>TOTAL AMOUNT</t>
  </si>
  <si>
    <t>TRANSPORTATION (ELLA)</t>
  </si>
  <si>
    <t>TRANSPORTATION (ALLY)</t>
  </si>
  <si>
    <t>UMC-500 (REPLACEMENT UNIT)</t>
  </si>
  <si>
    <t>BATCH 2000 - SEPT 2025 DUES</t>
  </si>
  <si>
    <t>JERSEY ADULT (450*103pcs)</t>
  </si>
  <si>
    <t>JERSEY KID (5pcs)</t>
  </si>
  <si>
    <t xml:space="preserve">OTHER EXPENSES </t>
  </si>
  <si>
    <t>TEAM</t>
  </si>
  <si>
    <t>Green</t>
  </si>
  <si>
    <t>1yr old</t>
  </si>
  <si>
    <t>4yr old</t>
  </si>
  <si>
    <t xml:space="preserve">7yr old </t>
  </si>
  <si>
    <t>4XL</t>
  </si>
  <si>
    <t>Black</t>
  </si>
  <si>
    <t>Gold</t>
  </si>
  <si>
    <t>White</t>
  </si>
  <si>
    <t>PRICE</t>
  </si>
  <si>
    <t>AVAILABLE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</si>
</sst>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Times New Roman"/>
      <family val="1"/>
    </font>
    <font>
      <b/>
      <u val="doubleAccounting"/>
      <sz val="11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1"/>
      <color rgb="FF00B05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3" fontId="8" fillId="0" borderId="1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3" fontId="8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0" fillId="5" borderId="0" xfId="1" applyFont="1" applyFill="1"/>
    <xf numFmtId="0" fontId="0" fillId="2" borderId="1" xfId="0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43" fontId="8" fillId="2" borderId="1" xfId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43" fontId="8" fillId="10" borderId="1" xfId="1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0" xfId="0" applyFill="1"/>
    <xf numFmtId="44" fontId="7" fillId="0" borderId="1" xfId="1" applyNumberFormat="1" applyFont="1" applyBorder="1" applyAlignment="1">
      <alignment horizontal="right"/>
    </xf>
    <xf numFmtId="44" fontId="7" fillId="0" borderId="1" xfId="1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center"/>
    </xf>
    <xf numFmtId="43" fontId="12" fillId="0" borderId="1" xfId="1" applyFont="1" applyBorder="1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44" fontId="7" fillId="0" borderId="1" xfId="1" applyNumberFormat="1" applyFont="1" applyBorder="1" applyAlignment="1">
      <alignment horizontal="center"/>
    </xf>
    <xf numFmtId="44" fontId="7" fillId="0" borderId="1" xfId="1" applyNumberFormat="1" applyFont="1" applyFill="1" applyBorder="1" applyAlignment="1">
      <alignment horizontal="center"/>
    </xf>
    <xf numFmtId="44" fontId="14" fillId="2" borderId="0" xfId="0" applyNumberFormat="1" applyFont="1" applyFill="1"/>
    <xf numFmtId="0" fontId="2" fillId="0" borderId="0" xfId="0" applyFont="1" applyAlignment="1">
      <alignment horizontal="right"/>
    </xf>
    <xf numFmtId="43" fontId="11" fillId="0" borderId="0" xfId="1" applyFont="1"/>
    <xf numFmtId="44" fontId="12" fillId="0" borderId="1" xfId="1" applyNumberFormat="1" applyFont="1" applyBorder="1" applyAlignment="1">
      <alignment horizontal="center"/>
    </xf>
    <xf numFmtId="0" fontId="11" fillId="0" borderId="0" xfId="0" applyFont="1"/>
    <xf numFmtId="0" fontId="15" fillId="0" borderId="0" xfId="0" applyFont="1"/>
    <xf numFmtId="0" fontId="0" fillId="0" borderId="2" xfId="0" applyBorder="1"/>
    <xf numFmtId="44" fontId="0" fillId="0" borderId="2" xfId="0" applyNumberFormat="1" applyBorder="1"/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2" fillId="5" borderId="0" xfId="0" applyFont="1" applyFill="1" applyAlignment="1">
      <alignment horizontal="center"/>
    </xf>
    <xf numFmtId="0" fontId="16" fillId="11" borderId="0" xfId="0" applyFont="1" applyFill="1" applyAlignment="1">
      <alignment horizontal="center" wrapText="1"/>
    </xf>
    <xf numFmtId="0" fontId="17" fillId="3" borderId="0" xfId="0" applyFont="1" applyFill="1" applyAlignment="1">
      <alignment horizontal="center" wrapText="1"/>
    </xf>
    <xf numFmtId="0" fontId="16" fillId="5" borderId="0" xfId="0" applyFont="1" applyFill="1" applyAlignment="1">
      <alignment horizontal="center" wrapText="1"/>
    </xf>
    <xf numFmtId="0" fontId="17" fillId="4" borderId="0" xfId="0" applyFont="1" applyFill="1" applyAlignment="1">
      <alignment horizontal="center" wrapText="1"/>
    </xf>
    <xf numFmtId="0" fontId="17" fillId="3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2" fillId="9" borderId="0" xfId="0" applyFont="1" applyFill="1"/>
    <xf numFmtId="44" fontId="2" fillId="2" borderId="0" xfId="0" applyNumberFormat="1" applyFont="1" applyFill="1"/>
    <xf numFmtId="43" fontId="4" fillId="5" borderId="0" xfId="1" applyFont="1" applyFill="1" applyAlignment="1">
      <alignment horizontal="center"/>
    </xf>
    <xf numFmtId="44" fontId="4" fillId="5" borderId="0" xfId="1" applyNumberFormat="1" applyFont="1" applyFill="1" applyAlignment="1">
      <alignment horizontal="center"/>
    </xf>
    <xf numFmtId="43" fontId="2" fillId="5" borderId="0" xfId="1" applyFont="1" applyFill="1" applyAlignment="1">
      <alignment horizontal="center"/>
    </xf>
    <xf numFmtId="44" fontId="0" fillId="5" borderId="0" xfId="1" applyNumberFormat="1" applyFont="1" applyFill="1"/>
    <xf numFmtId="44" fontId="0" fillId="5" borderId="0" xfId="1" applyNumberFormat="1" applyFont="1" applyFill="1" applyAlignment="1"/>
    <xf numFmtId="44" fontId="2" fillId="5" borderId="0" xfId="1" applyNumberFormat="1" applyFont="1" applyFill="1"/>
    <xf numFmtId="44" fontId="0" fillId="5" borderId="0" xfId="0" applyNumberFormat="1" applyFill="1"/>
    <xf numFmtId="44" fontId="12" fillId="5" borderId="0" xfId="1" applyNumberFormat="1" applyFont="1" applyFill="1" applyAlignment="1">
      <alignment horizontal="right"/>
    </xf>
    <xf numFmtId="44" fontId="11" fillId="5" borderId="0" xfId="1" applyNumberFormat="1" applyFont="1" applyFill="1"/>
    <xf numFmtId="44" fontId="18" fillId="5" borderId="0" xfId="1" applyNumberFormat="1" applyFont="1" applyFill="1" applyAlignment="1">
      <alignment horizontal="left"/>
    </xf>
    <xf numFmtId="44" fontId="18" fillId="5" borderId="0" xfId="1" applyNumberFormat="1" applyFont="1" applyFill="1" applyAlignment="1">
      <alignment horizontal="center"/>
    </xf>
    <xf numFmtId="0" fontId="9" fillId="10" borderId="1" xfId="0" applyFont="1" applyFill="1" applyBorder="1" applyAlignment="1">
      <alignment horizontal="center"/>
    </xf>
    <xf numFmtId="43" fontId="10" fillId="10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2" fillId="9" borderId="0" xfId="0" applyFont="1" applyFill="1" applyAlignment="1">
      <alignment horizontal="center"/>
    </xf>
    <xf numFmtId="44" fontId="2" fillId="9" borderId="0" xfId="0" applyNumberFormat="1" applyFont="1" applyFill="1"/>
    <xf numFmtId="0" fontId="2" fillId="9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3" fontId="15" fillId="5" borderId="0" xfId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8E55-3B0A-464D-8B25-42ED855B4FAD}">
  <dimension ref="A1:H17"/>
  <sheetViews>
    <sheetView tabSelected="1" zoomScale="115" zoomScaleNormal="115" workbookViewId="0">
      <selection activeCell="E14" sqref="E14"/>
    </sheetView>
  </sheetViews>
  <sheetFormatPr defaultRowHeight="14.4" x14ac:dyDescent="0.3"/>
  <cols>
    <col min="1" max="1" width="21.77734375" customWidth="1"/>
    <col min="2" max="2" width="22.109375" customWidth="1"/>
    <col min="3" max="3" width="26.77734375" customWidth="1"/>
    <col min="4" max="4" width="25.21875" customWidth="1"/>
  </cols>
  <sheetData>
    <row r="1" spans="1:8" s="3" customFormat="1" x14ac:dyDescent="0.3">
      <c r="A1" s="52" t="s">
        <v>85</v>
      </c>
      <c r="B1" s="52" t="s">
        <v>82</v>
      </c>
      <c r="C1" s="52" t="s">
        <v>83</v>
      </c>
      <c r="D1" s="52" t="s">
        <v>84</v>
      </c>
    </row>
    <row r="2" spans="1:8" ht="13.95" customHeight="1" x14ac:dyDescent="0.3">
      <c r="A2" s="53" t="s">
        <v>267</v>
      </c>
      <c r="B2" s="54" t="s">
        <v>283</v>
      </c>
      <c r="C2" s="55" t="s">
        <v>297</v>
      </c>
      <c r="D2" s="56" t="s">
        <v>312</v>
      </c>
    </row>
    <row r="3" spans="1:8" ht="15.6" x14ac:dyDescent="0.3">
      <c r="A3" s="53" t="s">
        <v>268</v>
      </c>
      <c r="B3" s="54" t="s">
        <v>284</v>
      </c>
      <c r="C3" s="55" t="s">
        <v>298</v>
      </c>
      <c r="D3" s="56" t="s">
        <v>313</v>
      </c>
    </row>
    <row r="4" spans="1:8" ht="15.6" x14ac:dyDescent="0.3">
      <c r="A4" s="53" t="s">
        <v>269</v>
      </c>
      <c r="B4" s="54" t="s">
        <v>285</v>
      </c>
      <c r="C4" s="55" t="s">
        <v>299</v>
      </c>
      <c r="D4" s="56" t="s">
        <v>314</v>
      </c>
    </row>
    <row r="5" spans="1:8" ht="15.6" x14ac:dyDescent="0.3">
      <c r="A5" s="53" t="s">
        <v>270</v>
      </c>
      <c r="B5" s="54" t="s">
        <v>286</v>
      </c>
      <c r="C5" s="55" t="s">
        <v>300</v>
      </c>
      <c r="D5" s="56" t="s">
        <v>315</v>
      </c>
    </row>
    <row r="6" spans="1:8" ht="15.6" x14ac:dyDescent="0.3">
      <c r="A6" s="53" t="s">
        <v>271</v>
      </c>
      <c r="B6" s="54" t="s">
        <v>287</v>
      </c>
      <c r="C6" s="55" t="s">
        <v>301</v>
      </c>
      <c r="D6" s="56" t="s">
        <v>316</v>
      </c>
    </row>
    <row r="7" spans="1:8" ht="15.6" x14ac:dyDescent="0.3">
      <c r="A7" s="53" t="s">
        <v>272</v>
      </c>
      <c r="B7" s="54" t="s">
        <v>288</v>
      </c>
      <c r="C7" s="55" t="s">
        <v>302</v>
      </c>
      <c r="D7" s="56" t="s">
        <v>317</v>
      </c>
    </row>
    <row r="8" spans="1:8" ht="15.6" x14ac:dyDescent="0.3">
      <c r="A8" s="53" t="s">
        <v>273</v>
      </c>
      <c r="B8" s="54" t="s">
        <v>289</v>
      </c>
      <c r="C8" s="55" t="s">
        <v>303</v>
      </c>
      <c r="D8" s="56" t="s">
        <v>318</v>
      </c>
    </row>
    <row r="9" spans="1:8" ht="15.6" x14ac:dyDescent="0.3">
      <c r="A9" s="53" t="s">
        <v>274</v>
      </c>
      <c r="B9" s="54" t="s">
        <v>290</v>
      </c>
      <c r="C9" s="55" t="s">
        <v>304</v>
      </c>
      <c r="D9" s="56" t="s">
        <v>319</v>
      </c>
    </row>
    <row r="10" spans="1:8" ht="15.6" x14ac:dyDescent="0.3">
      <c r="A10" s="53" t="s">
        <v>275</v>
      </c>
      <c r="B10" s="54" t="s">
        <v>291</v>
      </c>
      <c r="C10" s="55" t="s">
        <v>305</v>
      </c>
      <c r="D10" s="56" t="s">
        <v>320</v>
      </c>
    </row>
    <row r="11" spans="1:8" ht="15.6" x14ac:dyDescent="0.3">
      <c r="A11" s="53" t="s">
        <v>276</v>
      </c>
      <c r="B11" s="54" t="s">
        <v>292</v>
      </c>
      <c r="C11" s="55" t="s">
        <v>306</v>
      </c>
      <c r="D11" s="56" t="s">
        <v>321</v>
      </c>
      <c r="H11" s="7"/>
    </row>
    <row r="12" spans="1:8" ht="15.6" x14ac:dyDescent="0.3">
      <c r="A12" s="53" t="s">
        <v>277</v>
      </c>
      <c r="B12" s="54" t="s">
        <v>293</v>
      </c>
      <c r="C12" s="55" t="s">
        <v>307</v>
      </c>
      <c r="D12" s="56" t="s">
        <v>322</v>
      </c>
    </row>
    <row r="13" spans="1:8" ht="15.6" x14ac:dyDescent="0.3">
      <c r="A13" s="53" t="s">
        <v>278</v>
      </c>
      <c r="B13" s="54" t="s">
        <v>294</v>
      </c>
      <c r="C13" s="55" t="s">
        <v>308</v>
      </c>
      <c r="D13" s="56" t="s">
        <v>323</v>
      </c>
    </row>
    <row r="14" spans="1:8" ht="15.6" x14ac:dyDescent="0.3">
      <c r="A14" s="53" t="s">
        <v>279</v>
      </c>
      <c r="B14" s="54" t="s">
        <v>295</v>
      </c>
      <c r="C14" s="55" t="s">
        <v>309</v>
      </c>
      <c r="D14" s="56" t="s">
        <v>324</v>
      </c>
    </row>
    <row r="15" spans="1:8" ht="15.6" x14ac:dyDescent="0.3">
      <c r="A15" s="53" t="s">
        <v>280</v>
      </c>
      <c r="B15" s="54" t="s">
        <v>296</v>
      </c>
      <c r="C15" s="55" t="s">
        <v>310</v>
      </c>
      <c r="D15" s="56" t="s">
        <v>325</v>
      </c>
    </row>
    <row r="16" spans="1:8" ht="15.6" x14ac:dyDescent="0.3">
      <c r="A16" s="53" t="s">
        <v>281</v>
      </c>
      <c r="B16" s="57"/>
      <c r="C16" s="55" t="s">
        <v>311</v>
      </c>
      <c r="D16" s="56" t="s">
        <v>326</v>
      </c>
    </row>
    <row r="17" spans="1:4" ht="15.6" x14ac:dyDescent="0.3">
      <c r="A17" s="53" t="s">
        <v>282</v>
      </c>
      <c r="B17" s="57"/>
      <c r="C17" s="58"/>
      <c r="D17" s="59"/>
    </row>
  </sheetData>
  <pageMargins left="0.7" right="0.7" top="0.75" bottom="0.75" header="0.3" footer="0.3"/>
  <pageSetup orientation="portrait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A655-7E29-43B1-B2B8-1A16BE445D41}">
  <dimension ref="A1:K56"/>
  <sheetViews>
    <sheetView workbookViewId="0">
      <selection activeCell="F16" sqref="F16"/>
    </sheetView>
  </sheetViews>
  <sheetFormatPr defaultRowHeight="14.4" x14ac:dyDescent="0.3"/>
  <cols>
    <col min="1" max="1" width="2.88671875" style="2" bestFit="1" customWidth="1"/>
    <col min="2" max="2" width="23.88671875" bestFit="1" customWidth="1"/>
    <col min="3" max="3" width="22.5546875" bestFit="1" customWidth="1"/>
    <col min="4" max="4" width="23.21875" bestFit="1" customWidth="1"/>
    <col min="5" max="5" width="8.77734375" style="2"/>
    <col min="6" max="6" width="23.88671875" bestFit="1" customWidth="1"/>
    <col min="7" max="7" width="22.5546875" bestFit="1" customWidth="1"/>
    <col min="8" max="8" width="23.21875" bestFit="1" customWidth="1"/>
    <col min="9" max="9" width="4.44140625" bestFit="1" customWidth="1"/>
    <col min="10" max="10" width="15.44140625" bestFit="1" customWidth="1"/>
    <col min="11" max="11" width="8.77734375" style="2"/>
  </cols>
  <sheetData>
    <row r="1" spans="1:11" x14ac:dyDescent="0.3">
      <c r="A1" s="82" t="s">
        <v>88</v>
      </c>
      <c r="B1" s="82"/>
      <c r="C1" s="82"/>
      <c r="D1" s="82"/>
      <c r="E1" s="82"/>
      <c r="F1" s="83" t="s">
        <v>79</v>
      </c>
      <c r="G1" s="83"/>
      <c r="H1" s="83"/>
      <c r="I1" s="83"/>
      <c r="J1" s="84" t="s">
        <v>89</v>
      </c>
      <c r="K1" s="85"/>
    </row>
    <row r="2" spans="1:11" s="3" customFormat="1" x14ac:dyDescent="0.3">
      <c r="A2" s="5"/>
      <c r="B2" s="5" t="s">
        <v>1</v>
      </c>
      <c r="C2" s="5" t="s">
        <v>0</v>
      </c>
      <c r="D2" s="5" t="s">
        <v>2</v>
      </c>
      <c r="E2" s="5" t="s">
        <v>61</v>
      </c>
      <c r="F2" s="5" t="s">
        <v>1</v>
      </c>
      <c r="G2" s="5" t="s">
        <v>0</v>
      </c>
      <c r="H2" s="5" t="s">
        <v>2</v>
      </c>
      <c r="I2" s="5" t="s">
        <v>61</v>
      </c>
      <c r="J2" s="5" t="s">
        <v>90</v>
      </c>
      <c r="K2" s="5" t="s">
        <v>61</v>
      </c>
    </row>
    <row r="3" spans="1:11" x14ac:dyDescent="0.3">
      <c r="A3" s="6">
        <v>1</v>
      </c>
      <c r="B3" s="7" t="s">
        <v>20</v>
      </c>
      <c r="C3" s="7" t="s">
        <v>20</v>
      </c>
      <c r="D3" s="7" t="s">
        <v>20</v>
      </c>
      <c r="E3" s="6" t="s">
        <v>8</v>
      </c>
      <c r="F3" s="7" t="s">
        <v>65</v>
      </c>
      <c r="G3" s="7" t="s">
        <v>65</v>
      </c>
      <c r="H3" s="7" t="s">
        <v>65</v>
      </c>
      <c r="I3" s="6" t="s">
        <v>7</v>
      </c>
      <c r="J3" s="7"/>
      <c r="K3" s="6"/>
    </row>
    <row r="4" spans="1:11" x14ac:dyDescent="0.3">
      <c r="A4" s="86">
        <v>2</v>
      </c>
      <c r="B4" s="88" t="s">
        <v>27</v>
      </c>
      <c r="C4" s="88" t="s">
        <v>27</v>
      </c>
      <c r="D4" s="88" t="s">
        <v>27</v>
      </c>
      <c r="E4" s="86" t="s">
        <v>11</v>
      </c>
      <c r="F4" s="7"/>
      <c r="G4" s="7" t="s">
        <v>91</v>
      </c>
      <c r="H4" s="7"/>
      <c r="I4" s="6" t="s">
        <v>11</v>
      </c>
      <c r="J4" s="7" t="s">
        <v>92</v>
      </c>
      <c r="K4" s="6" t="s">
        <v>13</v>
      </c>
    </row>
    <row r="5" spans="1:11" x14ac:dyDescent="0.3">
      <c r="A5" s="87"/>
      <c r="B5" s="89"/>
      <c r="C5" s="89"/>
      <c r="D5" s="89"/>
      <c r="E5" s="87"/>
      <c r="F5" s="7"/>
      <c r="G5" s="7" t="s">
        <v>93</v>
      </c>
      <c r="H5" s="7"/>
      <c r="I5" s="6" t="s">
        <v>10</v>
      </c>
      <c r="J5" s="7"/>
      <c r="K5" s="6"/>
    </row>
    <row r="6" spans="1:11" x14ac:dyDescent="0.3">
      <c r="A6" s="6">
        <v>3</v>
      </c>
      <c r="B6" s="7" t="s">
        <v>31</v>
      </c>
      <c r="C6" s="7" t="s">
        <v>31</v>
      </c>
      <c r="D6" s="7" t="s">
        <v>31</v>
      </c>
      <c r="E6" s="6" t="s">
        <v>11</v>
      </c>
      <c r="F6" s="7"/>
      <c r="G6" s="7"/>
      <c r="H6" s="7"/>
      <c r="I6" s="7"/>
      <c r="J6" s="7" t="s">
        <v>94</v>
      </c>
      <c r="K6" s="6">
        <v>1</v>
      </c>
    </row>
    <row r="7" spans="1:11" x14ac:dyDescent="0.3">
      <c r="A7" s="86">
        <v>4</v>
      </c>
      <c r="B7" s="88" t="s">
        <v>34</v>
      </c>
      <c r="C7" s="88" t="s">
        <v>34</v>
      </c>
      <c r="D7" s="88" t="s">
        <v>34</v>
      </c>
      <c r="E7" s="86" t="s">
        <v>7</v>
      </c>
      <c r="F7" s="7" t="s">
        <v>66</v>
      </c>
      <c r="G7" s="7" t="s">
        <v>66</v>
      </c>
      <c r="H7" s="7"/>
      <c r="I7" s="6" t="s">
        <v>9</v>
      </c>
      <c r="J7" s="7" t="s">
        <v>95</v>
      </c>
      <c r="K7" s="6" t="s">
        <v>12</v>
      </c>
    </row>
    <row r="8" spans="1:11" x14ac:dyDescent="0.3">
      <c r="A8" s="87"/>
      <c r="B8" s="89"/>
      <c r="C8" s="89"/>
      <c r="D8" s="89"/>
      <c r="E8" s="87"/>
      <c r="F8" s="7" t="s">
        <v>67</v>
      </c>
      <c r="G8" s="7" t="s">
        <v>67</v>
      </c>
      <c r="H8" s="7"/>
      <c r="I8" s="6" t="s">
        <v>9</v>
      </c>
      <c r="J8" s="7"/>
      <c r="K8" s="6"/>
    </row>
    <row r="9" spans="1:11" x14ac:dyDescent="0.3">
      <c r="A9" s="6">
        <v>5</v>
      </c>
      <c r="B9" s="7" t="s">
        <v>47</v>
      </c>
      <c r="C9" s="7" t="s">
        <v>47</v>
      </c>
      <c r="D9" s="7"/>
      <c r="E9" s="6" t="s">
        <v>9</v>
      </c>
      <c r="F9" s="7"/>
      <c r="G9" s="7"/>
      <c r="H9" s="7"/>
      <c r="I9" s="7"/>
      <c r="J9" s="7"/>
      <c r="K9" s="6"/>
    </row>
    <row r="10" spans="1:11" x14ac:dyDescent="0.3">
      <c r="A10" s="6">
        <v>6</v>
      </c>
      <c r="B10" s="7" t="s">
        <v>24</v>
      </c>
      <c r="C10" s="7" t="s">
        <v>24</v>
      </c>
      <c r="D10" s="7"/>
      <c r="E10" s="6" t="s">
        <v>11</v>
      </c>
      <c r="F10" s="7"/>
      <c r="G10" s="7"/>
      <c r="H10" s="7"/>
      <c r="I10" s="7"/>
      <c r="J10" s="7"/>
      <c r="K10" s="6"/>
    </row>
    <row r="11" spans="1:11" x14ac:dyDescent="0.3">
      <c r="A11" s="6">
        <v>7</v>
      </c>
      <c r="B11" s="7" t="s">
        <v>35</v>
      </c>
      <c r="C11" s="7" t="s">
        <v>35</v>
      </c>
      <c r="D11" s="7"/>
      <c r="E11" s="6" t="s">
        <v>12</v>
      </c>
      <c r="F11" s="7"/>
      <c r="G11" s="7"/>
      <c r="H11" s="7" t="s">
        <v>75</v>
      </c>
      <c r="I11" s="6" t="s">
        <v>11</v>
      </c>
      <c r="J11" s="7"/>
      <c r="K11" s="6"/>
    </row>
    <row r="12" spans="1:11" x14ac:dyDescent="0.3">
      <c r="A12" s="86">
        <v>8</v>
      </c>
      <c r="B12" s="88" t="s">
        <v>46</v>
      </c>
      <c r="C12" s="88" t="s">
        <v>46</v>
      </c>
      <c r="D12" s="90"/>
      <c r="E12" s="86" t="s">
        <v>11</v>
      </c>
      <c r="F12" s="7"/>
      <c r="G12" s="7"/>
      <c r="H12" s="7" t="s">
        <v>77</v>
      </c>
      <c r="I12" s="6" t="s">
        <v>12</v>
      </c>
      <c r="J12" s="7" t="s">
        <v>96</v>
      </c>
      <c r="K12" s="6" t="s">
        <v>12</v>
      </c>
    </row>
    <row r="13" spans="1:11" x14ac:dyDescent="0.3">
      <c r="A13" s="87"/>
      <c r="B13" s="89"/>
      <c r="C13" s="89"/>
      <c r="D13" s="91"/>
      <c r="E13" s="87"/>
      <c r="F13" s="7"/>
      <c r="G13" s="7"/>
      <c r="H13" s="7" t="s">
        <v>78</v>
      </c>
      <c r="I13" s="6" t="s">
        <v>12</v>
      </c>
      <c r="J13" s="7"/>
      <c r="K13" s="6"/>
    </row>
    <row r="14" spans="1:11" x14ac:dyDescent="0.3">
      <c r="A14" s="6">
        <v>9</v>
      </c>
      <c r="B14" s="7" t="s">
        <v>19</v>
      </c>
      <c r="C14" s="7"/>
      <c r="D14" s="7" t="s">
        <v>19</v>
      </c>
      <c r="E14" s="6" t="s">
        <v>13</v>
      </c>
      <c r="F14" s="7"/>
      <c r="G14" s="7"/>
      <c r="H14" s="7" t="s">
        <v>70</v>
      </c>
      <c r="I14" s="6" t="s">
        <v>11</v>
      </c>
      <c r="J14" s="7"/>
      <c r="K14" s="6"/>
    </row>
    <row r="15" spans="1:11" x14ac:dyDescent="0.3">
      <c r="A15" s="6">
        <v>10</v>
      </c>
      <c r="B15" s="7" t="s">
        <v>23</v>
      </c>
      <c r="C15" s="7"/>
      <c r="D15" s="7" t="s">
        <v>23</v>
      </c>
      <c r="E15" s="6" t="s">
        <v>11</v>
      </c>
      <c r="F15" s="7"/>
      <c r="G15" s="7"/>
      <c r="H15" s="7"/>
      <c r="I15" s="7"/>
      <c r="J15" s="7"/>
      <c r="K15" s="6"/>
    </row>
    <row r="16" spans="1:11" x14ac:dyDescent="0.3">
      <c r="A16" s="6">
        <v>11</v>
      </c>
      <c r="B16" s="7" t="s">
        <v>26</v>
      </c>
      <c r="C16" s="7"/>
      <c r="D16" s="7" t="s">
        <v>26</v>
      </c>
      <c r="E16" s="6" t="s">
        <v>9</v>
      </c>
      <c r="F16" s="7"/>
      <c r="G16" s="7"/>
      <c r="H16" s="7" t="s">
        <v>71</v>
      </c>
      <c r="I16" s="6" t="s">
        <v>11</v>
      </c>
      <c r="J16" s="7" t="s">
        <v>97</v>
      </c>
      <c r="K16" s="6">
        <v>4</v>
      </c>
    </row>
    <row r="17" spans="1:11" x14ac:dyDescent="0.3">
      <c r="A17" s="6">
        <v>12</v>
      </c>
      <c r="B17" s="7" t="s">
        <v>25</v>
      </c>
      <c r="C17" s="7"/>
      <c r="D17" s="7" t="s">
        <v>25</v>
      </c>
      <c r="E17" s="6" t="s">
        <v>7</v>
      </c>
      <c r="F17" s="7"/>
      <c r="G17" s="7"/>
      <c r="H17" s="7"/>
      <c r="I17" s="7"/>
      <c r="J17" s="7"/>
      <c r="K17" s="6"/>
    </row>
    <row r="18" spans="1:11" x14ac:dyDescent="0.3">
      <c r="A18" s="6">
        <v>13</v>
      </c>
      <c r="B18" s="7" t="s">
        <v>48</v>
      </c>
      <c r="C18" s="7"/>
      <c r="D18" s="7" t="s">
        <v>48</v>
      </c>
      <c r="E18" s="6" t="s">
        <v>11</v>
      </c>
      <c r="F18" s="7"/>
      <c r="G18" s="7"/>
      <c r="H18" s="7"/>
      <c r="I18" s="7"/>
      <c r="J18" s="7"/>
      <c r="K18" s="6"/>
    </row>
    <row r="19" spans="1:11" x14ac:dyDescent="0.3">
      <c r="A19" s="6">
        <v>14</v>
      </c>
      <c r="B19" s="7" t="s">
        <v>49</v>
      </c>
      <c r="C19" s="7"/>
      <c r="D19" s="7" t="s">
        <v>49</v>
      </c>
      <c r="E19" s="6" t="s">
        <v>11</v>
      </c>
      <c r="F19" s="7"/>
      <c r="G19" s="7"/>
      <c r="H19" s="7"/>
      <c r="I19" s="7"/>
      <c r="J19" s="7"/>
      <c r="K19" s="6"/>
    </row>
    <row r="20" spans="1:11" x14ac:dyDescent="0.3">
      <c r="A20" s="6">
        <v>15</v>
      </c>
      <c r="B20" s="7" t="s">
        <v>38</v>
      </c>
      <c r="C20" s="7"/>
      <c r="D20" s="7" t="s">
        <v>38</v>
      </c>
      <c r="E20" s="6" t="s">
        <v>11</v>
      </c>
      <c r="F20" s="7"/>
      <c r="G20" s="7"/>
      <c r="H20" s="7"/>
      <c r="I20" s="7"/>
      <c r="J20" s="7"/>
      <c r="K20" s="6"/>
    </row>
    <row r="21" spans="1:11" x14ac:dyDescent="0.3">
      <c r="A21" s="6">
        <v>16</v>
      </c>
      <c r="B21" s="7" t="s">
        <v>39</v>
      </c>
      <c r="C21" s="7"/>
      <c r="D21" s="7" t="s">
        <v>39</v>
      </c>
      <c r="E21" s="6" t="s">
        <v>12</v>
      </c>
      <c r="F21" s="7"/>
      <c r="G21" s="7"/>
      <c r="H21" s="7"/>
      <c r="I21" s="7"/>
      <c r="J21" s="7"/>
      <c r="K21" s="6"/>
    </row>
    <row r="22" spans="1:11" x14ac:dyDescent="0.3">
      <c r="A22" s="6">
        <v>17</v>
      </c>
      <c r="B22" s="7" t="s">
        <v>41</v>
      </c>
      <c r="C22" s="7"/>
      <c r="D22" s="7" t="s">
        <v>41</v>
      </c>
      <c r="E22" s="6" t="s">
        <v>11</v>
      </c>
      <c r="F22" s="7"/>
      <c r="G22" s="7"/>
      <c r="H22" s="7"/>
      <c r="I22" s="7"/>
      <c r="J22" s="7"/>
      <c r="K22" s="6"/>
    </row>
    <row r="23" spans="1:11" x14ac:dyDescent="0.3">
      <c r="A23" s="6">
        <v>18</v>
      </c>
      <c r="B23" s="7" t="s">
        <v>42</v>
      </c>
      <c r="C23" s="7"/>
      <c r="D23" s="7" t="s">
        <v>42</v>
      </c>
      <c r="E23" s="6" t="s">
        <v>12</v>
      </c>
      <c r="F23" s="7"/>
      <c r="G23" s="7"/>
      <c r="H23" s="7"/>
      <c r="I23" s="7"/>
      <c r="J23" s="7"/>
      <c r="K23" s="6"/>
    </row>
    <row r="24" spans="1:11" x14ac:dyDescent="0.3">
      <c r="A24" s="6">
        <v>19</v>
      </c>
      <c r="B24" s="7" t="s">
        <v>53</v>
      </c>
      <c r="C24" s="7"/>
      <c r="D24" s="7" t="s">
        <v>50</v>
      </c>
      <c r="E24" s="6" t="s">
        <v>12</v>
      </c>
      <c r="F24" s="7"/>
      <c r="G24" s="7"/>
      <c r="H24" s="7"/>
      <c r="I24" s="7"/>
      <c r="J24" s="7"/>
      <c r="K24" s="6"/>
    </row>
    <row r="25" spans="1:11" x14ac:dyDescent="0.3">
      <c r="A25" s="6">
        <v>20</v>
      </c>
      <c r="B25" s="7" t="s">
        <v>45</v>
      </c>
      <c r="C25" s="7"/>
      <c r="D25" s="7" t="s">
        <v>45</v>
      </c>
      <c r="E25" s="6" t="s">
        <v>8</v>
      </c>
      <c r="F25" s="7"/>
      <c r="G25" s="7"/>
      <c r="H25" s="7"/>
      <c r="I25" s="7"/>
      <c r="J25" s="7"/>
      <c r="K25" s="6"/>
    </row>
    <row r="26" spans="1:11" x14ac:dyDescent="0.3">
      <c r="A26" s="6">
        <v>21</v>
      </c>
      <c r="B26" s="7" t="s">
        <v>86</v>
      </c>
      <c r="C26" s="7"/>
      <c r="D26" s="7" t="s">
        <v>86</v>
      </c>
      <c r="E26" s="6" t="s">
        <v>12</v>
      </c>
      <c r="F26" s="7"/>
      <c r="G26" s="7"/>
      <c r="H26" s="7" t="s">
        <v>98</v>
      </c>
      <c r="I26" s="6" t="s">
        <v>13</v>
      </c>
      <c r="J26" s="7"/>
      <c r="K26" s="6"/>
    </row>
    <row r="27" spans="1:11" x14ac:dyDescent="0.3">
      <c r="A27" s="6">
        <v>22</v>
      </c>
      <c r="B27" s="7"/>
      <c r="C27" s="7" t="s">
        <v>51</v>
      </c>
      <c r="D27" s="7" t="s">
        <v>51</v>
      </c>
      <c r="E27" s="6" t="s">
        <v>12</v>
      </c>
      <c r="F27" s="7"/>
      <c r="G27" s="7" t="s">
        <v>68</v>
      </c>
      <c r="H27" s="7" t="s">
        <v>68</v>
      </c>
      <c r="I27" s="6" t="s">
        <v>13</v>
      </c>
      <c r="J27" s="7"/>
      <c r="K27" s="6"/>
    </row>
    <row r="28" spans="1:11" x14ac:dyDescent="0.3">
      <c r="A28" s="6">
        <v>23</v>
      </c>
      <c r="B28" s="7"/>
      <c r="C28" s="7" t="s">
        <v>36</v>
      </c>
      <c r="D28" s="7" t="s">
        <v>36</v>
      </c>
      <c r="E28" s="6" t="s">
        <v>8</v>
      </c>
      <c r="F28" s="7"/>
      <c r="G28" s="7" t="s">
        <v>69</v>
      </c>
      <c r="H28" s="7" t="s">
        <v>69</v>
      </c>
      <c r="I28" s="6" t="s">
        <v>13</v>
      </c>
      <c r="J28" s="7"/>
      <c r="K28" s="6"/>
    </row>
    <row r="29" spans="1:11" x14ac:dyDescent="0.3">
      <c r="A29" s="6">
        <v>24</v>
      </c>
      <c r="B29" s="7"/>
      <c r="C29" s="7" t="s">
        <v>52</v>
      </c>
      <c r="D29" s="7" t="s">
        <v>52</v>
      </c>
      <c r="E29" s="6" t="s">
        <v>12</v>
      </c>
      <c r="F29" s="7"/>
      <c r="G29" s="7"/>
      <c r="H29" s="7"/>
      <c r="I29" s="7"/>
      <c r="J29" s="7"/>
      <c r="K29" s="6"/>
    </row>
    <row r="30" spans="1:11" x14ac:dyDescent="0.3">
      <c r="A30" s="6">
        <v>25</v>
      </c>
      <c r="B30" s="7" t="s">
        <v>54</v>
      </c>
      <c r="C30" s="7"/>
      <c r="D30" s="7"/>
      <c r="E30" s="6" t="s">
        <v>11</v>
      </c>
      <c r="F30" s="7"/>
      <c r="G30" s="7"/>
      <c r="H30" s="7"/>
      <c r="I30" s="7"/>
      <c r="J30" s="7"/>
      <c r="K30" s="6"/>
    </row>
    <row r="31" spans="1:11" x14ac:dyDescent="0.3">
      <c r="A31" s="6">
        <v>26</v>
      </c>
      <c r="B31" s="7" t="s">
        <v>22</v>
      </c>
      <c r="C31" s="7"/>
      <c r="D31" s="7"/>
      <c r="E31" s="6" t="s">
        <v>12</v>
      </c>
      <c r="F31" s="7"/>
      <c r="G31" s="7"/>
      <c r="H31" s="7"/>
      <c r="I31" s="7"/>
      <c r="J31" s="7"/>
      <c r="K31" s="6"/>
    </row>
    <row r="32" spans="1:11" x14ac:dyDescent="0.3">
      <c r="A32" s="6">
        <v>27</v>
      </c>
      <c r="B32" s="7" t="s">
        <v>55</v>
      </c>
      <c r="C32" s="7"/>
      <c r="D32" s="7"/>
      <c r="E32" s="6" t="s">
        <v>9</v>
      </c>
      <c r="F32" s="7"/>
      <c r="G32" s="7"/>
      <c r="H32" s="7" t="s">
        <v>73</v>
      </c>
      <c r="I32" s="6" t="s">
        <v>11</v>
      </c>
      <c r="J32" s="7" t="s">
        <v>99</v>
      </c>
      <c r="K32" s="6">
        <v>7</v>
      </c>
    </row>
    <row r="33" spans="1:11" x14ac:dyDescent="0.3">
      <c r="A33" s="6">
        <v>28</v>
      </c>
      <c r="B33" s="7" t="s">
        <v>28</v>
      </c>
      <c r="C33" s="7"/>
      <c r="D33" s="7"/>
      <c r="E33" s="6" t="s">
        <v>9</v>
      </c>
      <c r="F33" s="7"/>
      <c r="G33" s="7"/>
      <c r="H33" s="7"/>
      <c r="I33" s="7"/>
      <c r="J33" s="7"/>
      <c r="K33" s="6"/>
    </row>
    <row r="34" spans="1:11" x14ac:dyDescent="0.3">
      <c r="A34" s="82" t="s">
        <v>88</v>
      </c>
      <c r="B34" s="82"/>
      <c r="C34" s="82"/>
      <c r="D34" s="82"/>
      <c r="E34" s="82"/>
      <c r="F34" s="83" t="s">
        <v>79</v>
      </c>
      <c r="G34" s="83"/>
      <c r="H34" s="83"/>
      <c r="I34" s="83"/>
      <c r="J34" s="84" t="s">
        <v>89</v>
      </c>
      <c r="K34" s="85"/>
    </row>
    <row r="35" spans="1:11" s="3" customFormat="1" x14ac:dyDescent="0.3">
      <c r="A35" s="5"/>
      <c r="B35" s="5" t="s">
        <v>1</v>
      </c>
      <c r="C35" s="5" t="s">
        <v>0</v>
      </c>
      <c r="D35" s="5" t="s">
        <v>2</v>
      </c>
      <c r="E35" s="5" t="s">
        <v>61</v>
      </c>
      <c r="F35" s="5" t="s">
        <v>1</v>
      </c>
      <c r="G35" s="5" t="s">
        <v>0</v>
      </c>
      <c r="H35" s="5" t="s">
        <v>2</v>
      </c>
      <c r="I35" s="5" t="s">
        <v>61</v>
      </c>
      <c r="J35" s="5" t="s">
        <v>90</v>
      </c>
      <c r="K35" s="5" t="s">
        <v>61</v>
      </c>
    </row>
    <row r="36" spans="1:11" x14ac:dyDescent="0.3">
      <c r="A36" s="6">
        <v>29</v>
      </c>
      <c r="B36" s="7" t="s">
        <v>29</v>
      </c>
      <c r="C36" s="7"/>
      <c r="D36" s="7"/>
      <c r="E36" s="6" t="s">
        <v>6</v>
      </c>
      <c r="F36" s="7"/>
      <c r="G36" s="7"/>
      <c r="H36" s="7"/>
      <c r="I36" s="7"/>
      <c r="J36" s="7"/>
      <c r="K36" s="6"/>
    </row>
    <row r="37" spans="1:11" x14ac:dyDescent="0.3">
      <c r="A37" s="6">
        <v>30</v>
      </c>
      <c r="B37" s="7" t="s">
        <v>56</v>
      </c>
      <c r="C37" s="7"/>
      <c r="D37" s="7"/>
      <c r="E37" s="6" t="s">
        <v>9</v>
      </c>
      <c r="F37" s="7"/>
      <c r="G37" s="7"/>
      <c r="H37" s="7"/>
      <c r="I37" s="7"/>
      <c r="J37" s="7"/>
      <c r="K37" s="6"/>
    </row>
    <row r="38" spans="1:11" x14ac:dyDescent="0.3">
      <c r="A38" s="6">
        <v>31</v>
      </c>
      <c r="B38" s="7" t="s">
        <v>37</v>
      </c>
      <c r="C38" s="7"/>
      <c r="D38" s="7"/>
      <c r="E38" s="6" t="s">
        <v>9</v>
      </c>
      <c r="F38" s="7"/>
      <c r="G38" s="7"/>
      <c r="H38" s="7"/>
      <c r="I38" s="7"/>
      <c r="J38" s="7"/>
      <c r="K38" s="6"/>
    </row>
    <row r="39" spans="1:11" x14ac:dyDescent="0.3">
      <c r="A39" s="6">
        <v>32</v>
      </c>
      <c r="B39" s="7" t="s">
        <v>57</v>
      </c>
      <c r="C39" s="7"/>
      <c r="D39" s="7"/>
      <c r="E39" s="6" t="s">
        <v>11</v>
      </c>
      <c r="F39" s="7"/>
      <c r="G39" s="7"/>
      <c r="H39" s="7"/>
      <c r="I39" s="7"/>
      <c r="J39" s="7"/>
      <c r="K39" s="6"/>
    </row>
    <row r="40" spans="1:11" x14ac:dyDescent="0.3">
      <c r="A40" s="6">
        <v>33</v>
      </c>
      <c r="B40" s="7" t="s">
        <v>40</v>
      </c>
      <c r="C40" s="7"/>
      <c r="D40" s="7"/>
      <c r="E40" s="6" t="s">
        <v>8</v>
      </c>
      <c r="F40" s="7"/>
      <c r="G40" s="7"/>
      <c r="H40" s="7"/>
      <c r="I40" s="7"/>
      <c r="J40" s="7"/>
      <c r="K40" s="6"/>
    </row>
    <row r="41" spans="1:11" x14ac:dyDescent="0.3">
      <c r="A41" s="6">
        <v>34</v>
      </c>
      <c r="B41" s="7" t="s">
        <v>100</v>
      </c>
      <c r="C41" s="7"/>
      <c r="D41" s="7"/>
      <c r="E41" s="6" t="s">
        <v>11</v>
      </c>
      <c r="F41" s="7"/>
      <c r="G41" s="7"/>
      <c r="H41" s="7"/>
      <c r="I41" s="7"/>
      <c r="J41" s="7"/>
      <c r="K41" s="6"/>
    </row>
    <row r="42" spans="1:11" x14ac:dyDescent="0.3">
      <c r="A42" s="6">
        <v>35</v>
      </c>
      <c r="B42" s="7"/>
      <c r="C42" s="7" t="s">
        <v>58</v>
      </c>
      <c r="D42" s="7"/>
      <c r="E42" s="6" t="s">
        <v>11</v>
      </c>
      <c r="F42" s="7"/>
      <c r="G42" s="7"/>
      <c r="H42" s="7"/>
      <c r="I42" s="7"/>
      <c r="J42" s="7"/>
      <c r="K42" s="6"/>
    </row>
    <row r="43" spans="1:11" x14ac:dyDescent="0.3">
      <c r="A43" s="6">
        <v>36</v>
      </c>
      <c r="B43" s="7"/>
      <c r="C43" s="7" t="s">
        <v>32</v>
      </c>
      <c r="D43" s="7"/>
      <c r="E43" s="6" t="s">
        <v>13</v>
      </c>
      <c r="F43" s="7"/>
      <c r="G43" s="7"/>
      <c r="H43" s="7"/>
      <c r="I43" s="7"/>
      <c r="J43" s="7"/>
      <c r="K43" s="6"/>
    </row>
    <row r="44" spans="1:11" x14ac:dyDescent="0.3">
      <c r="A44" s="6">
        <v>37</v>
      </c>
      <c r="B44" s="7"/>
      <c r="C44" s="7"/>
      <c r="D44" s="7" t="s">
        <v>59</v>
      </c>
      <c r="E44" s="6" t="s">
        <v>9</v>
      </c>
      <c r="F44" s="7"/>
      <c r="G44" s="7"/>
      <c r="H44" s="7"/>
      <c r="I44" s="7"/>
      <c r="J44" s="7"/>
      <c r="K44" s="6"/>
    </row>
    <row r="45" spans="1:11" x14ac:dyDescent="0.3">
      <c r="A45" s="6">
        <v>38</v>
      </c>
      <c r="B45" s="7"/>
      <c r="C45" s="7"/>
      <c r="D45" s="7" t="s">
        <v>21</v>
      </c>
      <c r="E45" s="6" t="s">
        <v>12</v>
      </c>
      <c r="F45" s="7"/>
      <c r="G45" s="7"/>
      <c r="H45" s="7" t="s">
        <v>72</v>
      </c>
      <c r="I45" s="6" t="s">
        <v>11</v>
      </c>
      <c r="J45" s="7"/>
      <c r="K45" s="6"/>
    </row>
    <row r="46" spans="1:11" x14ac:dyDescent="0.3">
      <c r="A46" s="86">
        <v>39</v>
      </c>
      <c r="B46" s="7"/>
      <c r="C46" s="7"/>
      <c r="D46" s="88" t="s">
        <v>30</v>
      </c>
      <c r="E46" s="86" t="s">
        <v>11</v>
      </c>
      <c r="F46" s="7"/>
      <c r="G46" s="7"/>
      <c r="H46" s="7"/>
      <c r="I46" s="7"/>
      <c r="J46" s="7" t="s">
        <v>101</v>
      </c>
      <c r="K46" s="6" t="s">
        <v>12</v>
      </c>
    </row>
    <row r="47" spans="1:11" x14ac:dyDescent="0.3">
      <c r="A47" s="92"/>
      <c r="B47" s="7"/>
      <c r="C47" s="7"/>
      <c r="D47" s="93"/>
      <c r="E47" s="92"/>
      <c r="F47" s="7"/>
      <c r="G47" s="7"/>
      <c r="H47" s="7"/>
      <c r="I47" s="7"/>
      <c r="J47" s="7" t="s">
        <v>102</v>
      </c>
      <c r="K47" s="6" t="s">
        <v>13</v>
      </c>
    </row>
    <row r="48" spans="1:11" x14ac:dyDescent="0.3">
      <c r="A48" s="87"/>
      <c r="B48" s="7"/>
      <c r="C48" s="7"/>
      <c r="D48" s="89"/>
      <c r="E48" s="87"/>
      <c r="F48" s="7"/>
      <c r="G48" s="7"/>
      <c r="H48" s="7"/>
      <c r="I48" s="7"/>
      <c r="J48" s="7" t="s">
        <v>103</v>
      </c>
      <c r="K48" s="6">
        <v>1</v>
      </c>
    </row>
    <row r="49" spans="1:11" x14ac:dyDescent="0.3">
      <c r="A49" s="6">
        <v>40</v>
      </c>
      <c r="B49" s="7"/>
      <c r="C49" s="7"/>
      <c r="D49" s="7" t="s">
        <v>33</v>
      </c>
      <c r="E49" s="6" t="s">
        <v>7</v>
      </c>
      <c r="F49" s="7"/>
      <c r="G49" s="7"/>
      <c r="H49" s="7" t="s">
        <v>74</v>
      </c>
      <c r="I49" s="6" t="s">
        <v>12</v>
      </c>
      <c r="J49" s="7" t="s">
        <v>104</v>
      </c>
      <c r="K49" s="6">
        <v>4</v>
      </c>
    </row>
    <row r="50" spans="1:11" x14ac:dyDescent="0.3">
      <c r="A50" s="6">
        <v>41</v>
      </c>
      <c r="B50" s="7"/>
      <c r="C50" s="7"/>
      <c r="D50" s="7" t="s">
        <v>60</v>
      </c>
      <c r="E50" s="6" t="s">
        <v>11</v>
      </c>
      <c r="F50" s="7"/>
      <c r="G50" s="7"/>
      <c r="H50" s="7"/>
      <c r="I50" s="7"/>
      <c r="J50" s="7"/>
      <c r="K50" s="6"/>
    </row>
    <row r="51" spans="1:11" x14ac:dyDescent="0.3">
      <c r="A51" s="6">
        <v>42</v>
      </c>
      <c r="B51" s="7"/>
      <c r="C51" s="7"/>
      <c r="D51" s="7" t="s">
        <v>43</v>
      </c>
      <c r="E51" s="6" t="s">
        <v>8</v>
      </c>
      <c r="F51" s="7"/>
      <c r="G51" s="7"/>
      <c r="H51" s="7"/>
      <c r="I51" s="7"/>
      <c r="J51" s="7"/>
      <c r="K51" s="6"/>
    </row>
    <row r="52" spans="1:11" x14ac:dyDescent="0.3">
      <c r="A52" s="6">
        <v>43</v>
      </c>
      <c r="B52" s="7" t="s">
        <v>62</v>
      </c>
      <c r="C52" s="94" t="s">
        <v>64</v>
      </c>
      <c r="D52" s="95"/>
      <c r="E52" s="6" t="s">
        <v>12</v>
      </c>
      <c r="F52" s="7"/>
      <c r="G52" s="7"/>
      <c r="H52" s="7"/>
      <c r="I52" s="7"/>
      <c r="J52" s="7"/>
      <c r="K52" s="6"/>
    </row>
    <row r="53" spans="1:11" x14ac:dyDescent="0.3">
      <c r="A53" s="6">
        <v>44</v>
      </c>
      <c r="B53" s="7" t="s">
        <v>63</v>
      </c>
      <c r="C53" s="94" t="s">
        <v>64</v>
      </c>
      <c r="D53" s="95"/>
      <c r="E53" s="6" t="s">
        <v>11</v>
      </c>
      <c r="F53" s="7"/>
      <c r="G53" s="7"/>
      <c r="H53" s="7"/>
      <c r="I53" s="7"/>
      <c r="J53" s="7"/>
      <c r="K53" s="6"/>
    </row>
    <row r="54" spans="1:11" x14ac:dyDescent="0.3">
      <c r="A54" s="6">
        <v>45</v>
      </c>
      <c r="B54" s="7" t="s">
        <v>105</v>
      </c>
      <c r="C54" s="94" t="s">
        <v>64</v>
      </c>
      <c r="D54" s="95"/>
      <c r="E54" s="6" t="s">
        <v>11</v>
      </c>
      <c r="F54" s="7" t="s">
        <v>106</v>
      </c>
      <c r="G54" s="7"/>
      <c r="H54" s="7"/>
      <c r="I54" s="7"/>
      <c r="J54" s="7" t="s">
        <v>76</v>
      </c>
      <c r="K54" s="6" t="s">
        <v>10</v>
      </c>
    </row>
    <row r="55" spans="1:11" x14ac:dyDescent="0.3">
      <c r="A55" s="6">
        <v>46</v>
      </c>
      <c r="B55" s="7" t="s">
        <v>107</v>
      </c>
      <c r="C55" s="94" t="s">
        <v>64</v>
      </c>
      <c r="D55" s="95"/>
      <c r="E55" s="6" t="s">
        <v>8</v>
      </c>
      <c r="F55" s="7"/>
      <c r="G55" s="7"/>
      <c r="H55" s="7"/>
      <c r="I55" s="7"/>
      <c r="J55" s="7"/>
      <c r="K55" s="6"/>
    </row>
    <row r="56" spans="1:11" x14ac:dyDescent="0.3">
      <c r="A56" s="6">
        <v>47</v>
      </c>
      <c r="B56" s="7" t="s">
        <v>108</v>
      </c>
      <c r="C56" s="94" t="s">
        <v>64</v>
      </c>
      <c r="D56" s="95"/>
      <c r="E56" s="6" t="s">
        <v>9</v>
      </c>
      <c r="F56" s="7"/>
      <c r="G56" s="7"/>
      <c r="H56" s="7"/>
      <c r="I56" s="7"/>
      <c r="J56" s="7"/>
      <c r="K56" s="6"/>
    </row>
  </sheetData>
  <mergeCells count="29">
    <mergeCell ref="C52:D52"/>
    <mergeCell ref="C53:D53"/>
    <mergeCell ref="C54:D54"/>
    <mergeCell ref="C55:D55"/>
    <mergeCell ref="C56:D56"/>
    <mergeCell ref="A34:E34"/>
    <mergeCell ref="F34:I34"/>
    <mergeCell ref="J34:K34"/>
    <mergeCell ref="A46:A48"/>
    <mergeCell ref="D46:D48"/>
    <mergeCell ref="E46:E48"/>
    <mergeCell ref="A7:A8"/>
    <mergeCell ref="B7:B8"/>
    <mergeCell ref="C7:C8"/>
    <mergeCell ref="D7:D8"/>
    <mergeCell ref="E7:E8"/>
    <mergeCell ref="A12:A13"/>
    <mergeCell ref="B12:B13"/>
    <mergeCell ref="C12:C13"/>
    <mergeCell ref="D12:D13"/>
    <mergeCell ref="E12:E13"/>
    <mergeCell ref="A1:E1"/>
    <mergeCell ref="F1:I1"/>
    <mergeCell ref="J1:K1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DDBE-2871-43B7-A247-17283E8C969F}">
  <dimension ref="A1:K57"/>
  <sheetViews>
    <sheetView zoomScale="85" zoomScaleNormal="85" workbookViewId="0">
      <selection activeCell="E49" sqref="E49"/>
    </sheetView>
  </sheetViews>
  <sheetFormatPr defaultRowHeight="15.6" x14ac:dyDescent="0.3"/>
  <cols>
    <col min="1" max="1" width="3" style="11" bestFit="1" customWidth="1"/>
    <col min="2" max="2" width="17.5546875" style="12" customWidth="1"/>
    <col min="3" max="3" width="17.77734375" style="12" bestFit="1" customWidth="1"/>
    <col min="4" max="4" width="10.5546875" style="11" customWidth="1"/>
    <col min="5" max="5" width="6.88671875" style="11" customWidth="1"/>
    <col min="6" max="6" width="8.88671875" style="13" customWidth="1"/>
    <col min="7" max="7" width="20.77734375" style="14" customWidth="1"/>
    <col min="8" max="8" width="21" style="14" customWidth="1"/>
    <col min="9" max="9" width="19.88671875" style="14" customWidth="1"/>
    <col min="10" max="10" width="11.5546875" bestFit="1" customWidth="1"/>
    <col min="11" max="11" width="9.77734375" bestFit="1" customWidth="1"/>
  </cols>
  <sheetData>
    <row r="1" spans="1:11" ht="14.4" x14ac:dyDescent="0.3">
      <c r="A1" s="16" t="s">
        <v>207</v>
      </c>
      <c r="B1" s="16" t="s">
        <v>109</v>
      </c>
      <c r="C1" s="16" t="s">
        <v>90</v>
      </c>
      <c r="D1" s="16" t="s">
        <v>110</v>
      </c>
      <c r="E1" s="16" t="s">
        <v>111</v>
      </c>
      <c r="F1" s="17" t="s">
        <v>15</v>
      </c>
      <c r="G1" s="18" t="s">
        <v>208</v>
      </c>
      <c r="H1" s="19" t="s">
        <v>209</v>
      </c>
      <c r="I1" s="20" t="s">
        <v>209</v>
      </c>
    </row>
    <row r="2" spans="1:11" x14ac:dyDescent="0.3">
      <c r="A2" s="29">
        <v>1</v>
      </c>
      <c r="B2" s="30" t="s">
        <v>112</v>
      </c>
      <c r="C2" s="30" t="s">
        <v>113</v>
      </c>
      <c r="D2" s="29"/>
      <c r="E2" s="29"/>
      <c r="F2" s="31"/>
      <c r="G2" s="32"/>
      <c r="H2" s="32"/>
      <c r="I2" s="32"/>
      <c r="J2" s="33" t="s">
        <v>232</v>
      </c>
      <c r="K2" s="1">
        <v>500</v>
      </c>
    </row>
    <row r="3" spans="1:11" x14ac:dyDescent="0.3">
      <c r="A3" s="26">
        <v>2</v>
      </c>
      <c r="B3" s="27" t="s">
        <v>114</v>
      </c>
      <c r="C3" s="27" t="s">
        <v>115</v>
      </c>
      <c r="D3" s="26"/>
      <c r="E3" s="26"/>
      <c r="F3" s="28"/>
      <c r="G3" s="25" t="s">
        <v>201</v>
      </c>
      <c r="H3" s="25"/>
      <c r="I3" s="25"/>
      <c r="J3" s="4" t="s">
        <v>229</v>
      </c>
    </row>
    <row r="4" spans="1:11" x14ac:dyDescent="0.3">
      <c r="A4" s="8">
        <v>3</v>
      </c>
      <c r="B4" s="9" t="s">
        <v>116</v>
      </c>
      <c r="C4" s="9" t="s">
        <v>117</v>
      </c>
      <c r="D4" s="21" t="s">
        <v>16</v>
      </c>
      <c r="E4" s="21" t="s">
        <v>118</v>
      </c>
      <c r="F4" s="22">
        <v>500</v>
      </c>
      <c r="G4" s="15"/>
      <c r="H4" s="15"/>
      <c r="I4" s="15"/>
    </row>
    <row r="5" spans="1:11" x14ac:dyDescent="0.3">
      <c r="A5" s="8">
        <v>4</v>
      </c>
      <c r="B5" s="9" t="s">
        <v>119</v>
      </c>
      <c r="C5" s="9" t="s">
        <v>120</v>
      </c>
      <c r="D5" s="21" t="s">
        <v>16</v>
      </c>
      <c r="E5" s="21" t="s">
        <v>118</v>
      </c>
      <c r="F5" s="22">
        <v>500</v>
      </c>
      <c r="G5" s="15"/>
      <c r="H5" s="15"/>
      <c r="I5" s="15"/>
    </row>
    <row r="6" spans="1:11" x14ac:dyDescent="0.3">
      <c r="A6" s="8">
        <v>5</v>
      </c>
      <c r="B6" s="9" t="s">
        <v>121</v>
      </c>
      <c r="C6" s="9" t="s">
        <v>122</v>
      </c>
      <c r="D6" s="21" t="s">
        <v>16</v>
      </c>
      <c r="E6" s="21" t="s">
        <v>118</v>
      </c>
      <c r="F6" s="22">
        <v>500</v>
      </c>
      <c r="G6" s="15"/>
      <c r="H6" s="15"/>
      <c r="I6" s="15"/>
    </row>
    <row r="7" spans="1:11" x14ac:dyDescent="0.3">
      <c r="A7" s="8">
        <v>6</v>
      </c>
      <c r="B7" s="9" t="s">
        <v>123</v>
      </c>
      <c r="C7" s="9" t="s">
        <v>124</v>
      </c>
      <c r="D7" s="21" t="s">
        <v>16</v>
      </c>
      <c r="E7" s="21" t="s">
        <v>118</v>
      </c>
      <c r="F7" s="22">
        <v>500</v>
      </c>
      <c r="G7" s="15"/>
      <c r="H7" s="15"/>
      <c r="I7" s="15"/>
    </row>
    <row r="8" spans="1:11" x14ac:dyDescent="0.3">
      <c r="A8" s="8">
        <v>7</v>
      </c>
      <c r="B8" s="9" t="s">
        <v>125</v>
      </c>
      <c r="C8" s="9" t="s">
        <v>126</v>
      </c>
      <c r="D8" s="21" t="s">
        <v>16</v>
      </c>
      <c r="E8" s="21" t="s">
        <v>167</v>
      </c>
      <c r="F8" s="22">
        <v>500</v>
      </c>
      <c r="G8" s="15"/>
      <c r="H8" s="15"/>
      <c r="I8" s="15"/>
    </row>
    <row r="9" spans="1:11" x14ac:dyDescent="0.3">
      <c r="A9" s="29">
        <v>8</v>
      </c>
      <c r="B9" s="30" t="s">
        <v>127</v>
      </c>
      <c r="C9" s="30" t="s">
        <v>128</v>
      </c>
      <c r="D9" s="73"/>
      <c r="E9" s="73"/>
      <c r="F9" s="74"/>
      <c r="G9" s="32"/>
      <c r="H9" s="32"/>
      <c r="I9" s="32"/>
      <c r="J9" s="33" t="s">
        <v>231</v>
      </c>
      <c r="K9" s="1">
        <v>500</v>
      </c>
    </row>
    <row r="10" spans="1:11" x14ac:dyDescent="0.3">
      <c r="A10" s="8">
        <v>9</v>
      </c>
      <c r="B10" s="9" t="s">
        <v>129</v>
      </c>
      <c r="C10" s="9" t="s">
        <v>130</v>
      </c>
      <c r="D10" s="21" t="s">
        <v>16</v>
      </c>
      <c r="E10" s="21" t="s">
        <v>118</v>
      </c>
      <c r="F10" s="22">
        <v>500</v>
      </c>
      <c r="G10" s="15"/>
      <c r="H10" s="15"/>
      <c r="I10" s="15"/>
    </row>
    <row r="11" spans="1:11" x14ac:dyDescent="0.3">
      <c r="A11" s="8">
        <v>10</v>
      </c>
      <c r="B11" s="9" t="s">
        <v>131</v>
      </c>
      <c r="C11" s="9" t="s">
        <v>132</v>
      </c>
      <c r="D11" s="21" t="s">
        <v>16</v>
      </c>
      <c r="E11" s="21" t="s">
        <v>118</v>
      </c>
      <c r="F11" s="22">
        <v>2000</v>
      </c>
      <c r="G11" s="15" t="s">
        <v>95</v>
      </c>
      <c r="H11" s="15" t="s">
        <v>66</v>
      </c>
      <c r="I11" s="15" t="s">
        <v>67</v>
      </c>
    </row>
    <row r="12" spans="1:11" x14ac:dyDescent="0.3">
      <c r="A12" s="29">
        <v>11</v>
      </c>
      <c r="B12" s="30" t="s">
        <v>133</v>
      </c>
      <c r="C12" s="30" t="s">
        <v>17</v>
      </c>
      <c r="D12" s="73"/>
      <c r="E12" s="73"/>
      <c r="F12" s="74"/>
      <c r="G12" s="32"/>
      <c r="H12" s="32"/>
      <c r="I12" s="32"/>
      <c r="J12" s="33" t="s">
        <v>232</v>
      </c>
      <c r="K12" s="1">
        <v>500</v>
      </c>
    </row>
    <row r="13" spans="1:11" x14ac:dyDescent="0.3">
      <c r="A13" s="29">
        <v>12</v>
      </c>
      <c r="B13" s="30" t="s">
        <v>134</v>
      </c>
      <c r="C13" s="30" t="s">
        <v>135</v>
      </c>
      <c r="D13" s="73"/>
      <c r="E13" s="73"/>
      <c r="F13" s="74"/>
      <c r="G13" s="32"/>
      <c r="H13" s="32"/>
      <c r="I13" s="32"/>
      <c r="J13" s="33" t="s">
        <v>232</v>
      </c>
      <c r="K13" s="1">
        <v>500</v>
      </c>
    </row>
    <row r="14" spans="1:11" x14ac:dyDescent="0.3">
      <c r="A14" s="8">
        <v>13</v>
      </c>
      <c r="B14" s="9" t="s">
        <v>136</v>
      </c>
      <c r="C14" s="9" t="s">
        <v>137</v>
      </c>
      <c r="D14" s="21" t="s">
        <v>16</v>
      </c>
      <c r="E14" s="21" t="s">
        <v>118</v>
      </c>
      <c r="F14" s="22">
        <v>1000</v>
      </c>
      <c r="G14" s="15" t="s">
        <v>227</v>
      </c>
      <c r="H14" s="15"/>
      <c r="I14" s="15"/>
    </row>
    <row r="15" spans="1:11" x14ac:dyDescent="0.3">
      <c r="A15" s="29">
        <v>14</v>
      </c>
      <c r="B15" s="30" t="s">
        <v>138</v>
      </c>
      <c r="C15" s="30" t="s">
        <v>139</v>
      </c>
      <c r="D15" s="73"/>
      <c r="E15" s="73"/>
      <c r="F15" s="74"/>
      <c r="G15" s="32"/>
      <c r="H15" s="32"/>
      <c r="I15" s="32"/>
      <c r="J15" s="33" t="s">
        <v>232</v>
      </c>
      <c r="K15" s="1">
        <v>500</v>
      </c>
    </row>
    <row r="16" spans="1:11" x14ac:dyDescent="0.3">
      <c r="A16" s="8">
        <v>15</v>
      </c>
      <c r="B16" s="9" t="s">
        <v>140</v>
      </c>
      <c r="C16" s="9" t="s">
        <v>141</v>
      </c>
      <c r="D16" s="21" t="s">
        <v>16</v>
      </c>
      <c r="E16" s="21" t="s">
        <v>167</v>
      </c>
      <c r="F16" s="22">
        <v>1000</v>
      </c>
      <c r="G16" s="15" t="s">
        <v>73</v>
      </c>
      <c r="H16" s="15" t="s">
        <v>202</v>
      </c>
      <c r="I16" s="15"/>
    </row>
    <row r="17" spans="1:11" x14ac:dyDescent="0.3">
      <c r="A17" s="29">
        <v>16</v>
      </c>
      <c r="B17" s="30" t="s">
        <v>142</v>
      </c>
      <c r="C17" s="30" t="s">
        <v>143</v>
      </c>
      <c r="D17" s="73"/>
      <c r="E17" s="73"/>
      <c r="F17" s="74"/>
      <c r="G17" s="32"/>
      <c r="H17" s="32"/>
      <c r="I17" s="32"/>
      <c r="J17" s="33" t="s">
        <v>232</v>
      </c>
      <c r="K17" s="1">
        <v>500</v>
      </c>
    </row>
    <row r="18" spans="1:11" x14ac:dyDescent="0.3">
      <c r="A18" s="8">
        <v>17</v>
      </c>
      <c r="B18" s="9" t="s">
        <v>144</v>
      </c>
      <c r="C18" s="9" t="s">
        <v>145</v>
      </c>
      <c r="D18" s="21" t="s">
        <v>16</v>
      </c>
      <c r="E18" s="21" t="s">
        <v>118</v>
      </c>
      <c r="F18" s="22">
        <v>1000</v>
      </c>
      <c r="G18" s="15" t="s">
        <v>75</v>
      </c>
      <c r="H18" s="15"/>
      <c r="I18" s="15"/>
    </row>
    <row r="19" spans="1:11" x14ac:dyDescent="0.3">
      <c r="A19" s="8">
        <v>18</v>
      </c>
      <c r="B19" s="9" t="s">
        <v>146</v>
      </c>
      <c r="C19" s="9" t="s">
        <v>147</v>
      </c>
      <c r="D19" s="21" t="s">
        <v>16</v>
      </c>
      <c r="E19" s="21" t="s">
        <v>118</v>
      </c>
      <c r="F19" s="22">
        <v>1000</v>
      </c>
      <c r="G19" s="15" t="s">
        <v>69</v>
      </c>
      <c r="H19" s="15"/>
      <c r="I19" s="15"/>
    </row>
    <row r="20" spans="1:11" x14ac:dyDescent="0.3">
      <c r="A20" s="8">
        <v>19</v>
      </c>
      <c r="B20" s="9" t="s">
        <v>148</v>
      </c>
      <c r="C20" s="9" t="s">
        <v>149</v>
      </c>
      <c r="D20" s="21" t="s">
        <v>16</v>
      </c>
      <c r="E20" s="21" t="s">
        <v>118</v>
      </c>
      <c r="F20" s="22">
        <v>500</v>
      </c>
      <c r="G20" s="15"/>
      <c r="H20" s="15"/>
      <c r="I20" s="15"/>
    </row>
    <row r="21" spans="1:11" x14ac:dyDescent="0.3">
      <c r="A21" s="29">
        <v>20</v>
      </c>
      <c r="B21" s="30" t="s">
        <v>150</v>
      </c>
      <c r="C21" s="30" t="s">
        <v>151</v>
      </c>
      <c r="D21" s="73"/>
      <c r="E21" s="73"/>
      <c r="F21" s="74"/>
      <c r="G21" s="32"/>
      <c r="H21" s="32"/>
      <c r="I21" s="32"/>
      <c r="J21" s="33" t="s">
        <v>232</v>
      </c>
      <c r="K21" s="1">
        <v>500</v>
      </c>
    </row>
    <row r="22" spans="1:11" x14ac:dyDescent="0.3">
      <c r="A22" s="8">
        <v>21</v>
      </c>
      <c r="B22" s="9" t="s">
        <v>152</v>
      </c>
      <c r="C22" s="9" t="s">
        <v>153</v>
      </c>
      <c r="D22" s="21" t="s">
        <v>16</v>
      </c>
      <c r="E22" s="21" t="s">
        <v>154</v>
      </c>
      <c r="F22" s="22">
        <v>1500</v>
      </c>
      <c r="G22" s="15" t="s">
        <v>74</v>
      </c>
      <c r="H22" s="15" t="s">
        <v>104</v>
      </c>
      <c r="I22" s="15"/>
    </row>
    <row r="23" spans="1:11" x14ac:dyDescent="0.3">
      <c r="A23" s="29">
        <v>22</v>
      </c>
      <c r="B23" s="30" t="s">
        <v>155</v>
      </c>
      <c r="C23" s="30" t="s">
        <v>156</v>
      </c>
      <c r="D23" s="73"/>
      <c r="E23" s="73"/>
      <c r="F23" s="74"/>
      <c r="G23" s="32"/>
      <c r="H23" s="32"/>
      <c r="I23" s="32"/>
      <c r="J23" s="33" t="s">
        <v>232</v>
      </c>
      <c r="K23" s="1">
        <v>500</v>
      </c>
    </row>
    <row r="24" spans="1:11" x14ac:dyDescent="0.3">
      <c r="A24" s="29">
        <v>23</v>
      </c>
      <c r="B24" s="30" t="s">
        <v>157</v>
      </c>
      <c r="C24" s="30" t="s">
        <v>158</v>
      </c>
      <c r="D24" s="73"/>
      <c r="E24" s="73"/>
      <c r="F24" s="74"/>
      <c r="G24" s="32"/>
      <c r="H24" s="32"/>
      <c r="I24" s="32"/>
      <c r="J24" s="33" t="s">
        <v>232</v>
      </c>
      <c r="K24" s="1">
        <v>500</v>
      </c>
    </row>
    <row r="25" spans="1:11" x14ac:dyDescent="0.3">
      <c r="A25" s="29">
        <v>24</v>
      </c>
      <c r="B25" s="30" t="s">
        <v>230</v>
      </c>
      <c r="C25" s="30" t="s">
        <v>159</v>
      </c>
      <c r="D25" s="73"/>
      <c r="E25" s="73"/>
      <c r="F25" s="74"/>
      <c r="G25" s="32" t="s">
        <v>70</v>
      </c>
      <c r="H25" s="32"/>
      <c r="I25" s="32"/>
      <c r="J25" s="33" t="s">
        <v>232</v>
      </c>
      <c r="K25" s="1">
        <v>1000</v>
      </c>
    </row>
    <row r="26" spans="1:11" x14ac:dyDescent="0.3">
      <c r="A26" s="8">
        <v>25</v>
      </c>
      <c r="B26" s="9" t="s">
        <v>160</v>
      </c>
      <c r="C26" s="9" t="s">
        <v>161</v>
      </c>
      <c r="D26" s="21" t="s">
        <v>16</v>
      </c>
      <c r="E26" s="21" t="s">
        <v>167</v>
      </c>
      <c r="F26" s="22">
        <v>500</v>
      </c>
      <c r="G26" s="15"/>
      <c r="H26" s="15"/>
      <c r="I26" s="15"/>
    </row>
    <row r="27" spans="1:11" x14ac:dyDescent="0.3">
      <c r="A27" s="8">
        <v>26</v>
      </c>
      <c r="B27" s="9" t="s">
        <v>162</v>
      </c>
      <c r="C27" s="9" t="s">
        <v>163</v>
      </c>
      <c r="D27" s="21" t="s">
        <v>16</v>
      </c>
      <c r="E27" s="21" t="s">
        <v>118</v>
      </c>
      <c r="F27" s="22">
        <v>2000</v>
      </c>
      <c r="G27" s="15" t="s">
        <v>92</v>
      </c>
      <c r="H27" s="15" t="s">
        <v>203</v>
      </c>
      <c r="I27" s="15" t="s">
        <v>204</v>
      </c>
    </row>
    <row r="28" spans="1:11" x14ac:dyDescent="0.3">
      <c r="A28" s="8">
        <v>27</v>
      </c>
      <c r="B28" s="9" t="s">
        <v>164</v>
      </c>
      <c r="C28" s="9" t="s">
        <v>165</v>
      </c>
      <c r="D28" s="21" t="s">
        <v>16</v>
      </c>
      <c r="E28" s="21" t="s">
        <v>118</v>
      </c>
      <c r="F28" s="22">
        <v>500</v>
      </c>
      <c r="G28" s="15"/>
      <c r="H28" s="15"/>
      <c r="I28" s="15"/>
    </row>
    <row r="29" spans="1:11" x14ac:dyDescent="0.3">
      <c r="A29" s="8">
        <v>28</v>
      </c>
      <c r="B29" s="9" t="s">
        <v>260</v>
      </c>
      <c r="C29" s="9" t="s">
        <v>166</v>
      </c>
      <c r="D29" s="21" t="s">
        <v>16</v>
      </c>
      <c r="E29" s="21" t="s">
        <v>167</v>
      </c>
      <c r="F29" s="22">
        <v>1000</v>
      </c>
      <c r="G29" s="15" t="s">
        <v>72</v>
      </c>
      <c r="H29" s="15"/>
      <c r="I29" s="15"/>
    </row>
    <row r="30" spans="1:11" x14ac:dyDescent="0.3">
      <c r="A30" s="29">
        <v>29</v>
      </c>
      <c r="B30" s="30" t="s">
        <v>168</v>
      </c>
      <c r="C30" s="30" t="s">
        <v>169</v>
      </c>
      <c r="D30" s="73"/>
      <c r="E30" s="73"/>
      <c r="F30" s="74"/>
      <c r="G30" s="32"/>
      <c r="H30" s="32"/>
      <c r="I30" s="32"/>
      <c r="J30" s="33" t="s">
        <v>232</v>
      </c>
      <c r="K30" s="1">
        <v>500</v>
      </c>
    </row>
    <row r="31" spans="1:11" x14ac:dyDescent="0.3">
      <c r="A31" s="29">
        <v>30</v>
      </c>
      <c r="B31" s="30" t="s">
        <v>170</v>
      </c>
      <c r="C31" s="30" t="s">
        <v>171</v>
      </c>
      <c r="D31" s="73"/>
      <c r="E31" s="73"/>
      <c r="F31" s="74"/>
      <c r="G31" s="32"/>
      <c r="H31" s="32"/>
      <c r="I31" s="32"/>
      <c r="J31" s="33" t="s">
        <v>232</v>
      </c>
      <c r="K31" s="1">
        <v>500</v>
      </c>
    </row>
    <row r="32" spans="1:11" x14ac:dyDescent="0.3">
      <c r="A32" s="8">
        <v>31</v>
      </c>
      <c r="B32" s="9" t="s">
        <v>172</v>
      </c>
      <c r="C32" s="9" t="s">
        <v>173</v>
      </c>
      <c r="D32" s="21" t="s">
        <v>16</v>
      </c>
      <c r="E32" s="21" t="s">
        <v>118</v>
      </c>
      <c r="F32" s="22">
        <v>1000</v>
      </c>
      <c r="G32" s="15" t="s">
        <v>205</v>
      </c>
      <c r="H32" s="15"/>
      <c r="I32" s="15"/>
    </row>
    <row r="33" spans="1:11" x14ac:dyDescent="0.3">
      <c r="A33" s="8">
        <v>32</v>
      </c>
      <c r="B33" s="9" t="s">
        <v>174</v>
      </c>
      <c r="C33" s="9" t="s">
        <v>175</v>
      </c>
      <c r="D33" s="21" t="s">
        <v>16</v>
      </c>
      <c r="E33" s="21" t="s">
        <v>118</v>
      </c>
      <c r="F33" s="22">
        <v>2000</v>
      </c>
      <c r="G33" s="15" t="s">
        <v>77</v>
      </c>
      <c r="H33" s="15" t="s">
        <v>78</v>
      </c>
      <c r="I33" s="15" t="s">
        <v>96</v>
      </c>
    </row>
    <row r="34" spans="1:11" x14ac:dyDescent="0.3">
      <c r="A34" s="8">
        <v>33</v>
      </c>
      <c r="B34" s="9" t="s">
        <v>176</v>
      </c>
      <c r="C34" s="9" t="s">
        <v>177</v>
      </c>
      <c r="D34" s="21" t="s">
        <v>16</v>
      </c>
      <c r="E34" s="21" t="s">
        <v>167</v>
      </c>
      <c r="F34" s="22">
        <v>1500</v>
      </c>
      <c r="G34" s="15" t="s">
        <v>71</v>
      </c>
      <c r="H34" s="15" t="s">
        <v>97</v>
      </c>
      <c r="I34" s="15"/>
    </row>
    <row r="35" spans="1:11" x14ac:dyDescent="0.3">
      <c r="A35" s="8">
        <v>34</v>
      </c>
      <c r="B35" s="9" t="s">
        <v>178</v>
      </c>
      <c r="C35" s="9" t="s">
        <v>179</v>
      </c>
      <c r="D35" s="21" t="s">
        <v>16</v>
      </c>
      <c r="E35" s="21" t="s">
        <v>118</v>
      </c>
      <c r="F35" s="22">
        <v>2000</v>
      </c>
      <c r="G35" s="15" t="s">
        <v>101</v>
      </c>
      <c r="H35" s="15" t="s">
        <v>102</v>
      </c>
      <c r="I35" s="15" t="s">
        <v>103</v>
      </c>
    </row>
    <row r="36" spans="1:11" x14ac:dyDescent="0.3">
      <c r="A36" s="8">
        <v>35</v>
      </c>
      <c r="B36" s="9" t="s">
        <v>180</v>
      </c>
      <c r="C36" s="9" t="s">
        <v>181</v>
      </c>
      <c r="D36" s="21" t="s">
        <v>16</v>
      </c>
      <c r="E36" s="21" t="s">
        <v>118</v>
      </c>
      <c r="F36" s="22">
        <v>500</v>
      </c>
      <c r="G36" s="15"/>
      <c r="H36" s="15"/>
      <c r="I36" s="15"/>
    </row>
    <row r="37" spans="1:11" x14ac:dyDescent="0.3">
      <c r="A37" s="8">
        <v>36</v>
      </c>
      <c r="B37" s="9" t="s">
        <v>182</v>
      </c>
      <c r="C37" s="9" t="s">
        <v>183</v>
      </c>
      <c r="D37" s="21" t="s">
        <v>16</v>
      </c>
      <c r="E37" s="21" t="s">
        <v>167</v>
      </c>
      <c r="F37" s="22">
        <v>1000</v>
      </c>
      <c r="G37" s="15"/>
      <c r="H37" s="15" t="s">
        <v>94</v>
      </c>
      <c r="I37" s="15"/>
    </row>
    <row r="38" spans="1:11" x14ac:dyDescent="0.3">
      <c r="A38" s="8">
        <v>37</v>
      </c>
      <c r="B38" s="9" t="s">
        <v>184</v>
      </c>
      <c r="C38" s="9" t="s">
        <v>185</v>
      </c>
      <c r="D38" s="21" t="s">
        <v>16</v>
      </c>
      <c r="E38" s="21" t="s">
        <v>118</v>
      </c>
      <c r="F38" s="22">
        <v>500</v>
      </c>
      <c r="G38" s="15"/>
      <c r="H38" s="15"/>
      <c r="I38" s="15"/>
    </row>
    <row r="39" spans="1:11" x14ac:dyDescent="0.3">
      <c r="A39" s="8">
        <v>38</v>
      </c>
      <c r="B39" s="9" t="s">
        <v>186</v>
      </c>
      <c r="C39" s="9" t="s">
        <v>187</v>
      </c>
      <c r="D39" s="21" t="s">
        <v>16</v>
      </c>
      <c r="E39" s="21" t="s">
        <v>167</v>
      </c>
      <c r="F39" s="22">
        <v>500</v>
      </c>
      <c r="G39" s="15"/>
      <c r="H39" s="15"/>
      <c r="I39" s="15"/>
    </row>
    <row r="40" spans="1:11" x14ac:dyDescent="0.3">
      <c r="A40" s="29">
        <v>39</v>
      </c>
      <c r="B40" s="30" t="s">
        <v>188</v>
      </c>
      <c r="C40" s="30" t="s">
        <v>18</v>
      </c>
      <c r="D40" s="73"/>
      <c r="E40" s="73"/>
      <c r="F40" s="74"/>
      <c r="G40" s="32"/>
      <c r="H40" s="32"/>
      <c r="I40" s="32"/>
      <c r="J40" s="33" t="s">
        <v>232</v>
      </c>
      <c r="K40" s="1">
        <v>500</v>
      </c>
    </row>
    <row r="41" spans="1:11" x14ac:dyDescent="0.3">
      <c r="A41" s="29">
        <v>40</v>
      </c>
      <c r="B41" s="30" t="s">
        <v>189</v>
      </c>
      <c r="C41" s="30" t="s">
        <v>190</v>
      </c>
      <c r="D41" s="73"/>
      <c r="E41" s="73"/>
      <c r="F41" s="74"/>
      <c r="G41" s="32"/>
      <c r="H41" s="32"/>
      <c r="I41" s="32"/>
      <c r="J41" s="33" t="s">
        <v>232</v>
      </c>
      <c r="K41" s="1">
        <v>500</v>
      </c>
    </row>
    <row r="42" spans="1:11" x14ac:dyDescent="0.3">
      <c r="A42" s="8">
        <v>41</v>
      </c>
      <c r="B42" s="9" t="s">
        <v>191</v>
      </c>
      <c r="C42" s="9" t="s">
        <v>192</v>
      </c>
      <c r="D42" s="21" t="s">
        <v>16</v>
      </c>
      <c r="E42" s="21" t="s">
        <v>167</v>
      </c>
      <c r="F42" s="22">
        <v>1000</v>
      </c>
      <c r="G42" s="15"/>
      <c r="H42" s="15" t="s">
        <v>206</v>
      </c>
      <c r="I42" s="15"/>
    </row>
    <row r="43" spans="1:11" x14ac:dyDescent="0.3">
      <c r="A43" s="29">
        <v>42</v>
      </c>
      <c r="B43" s="30" t="s">
        <v>193</v>
      </c>
      <c r="C43" s="30" t="s">
        <v>194</v>
      </c>
      <c r="D43" s="73"/>
      <c r="E43" s="73"/>
      <c r="F43" s="74"/>
      <c r="G43" s="32"/>
      <c r="H43" s="32"/>
      <c r="I43" s="32"/>
      <c r="J43" s="33" t="s">
        <v>232</v>
      </c>
      <c r="K43" s="1">
        <v>500</v>
      </c>
    </row>
    <row r="44" spans="1:11" x14ac:dyDescent="0.3">
      <c r="A44" s="8">
        <v>43</v>
      </c>
      <c r="B44" s="9" t="s">
        <v>195</v>
      </c>
      <c r="C44" s="9" t="s">
        <v>44</v>
      </c>
      <c r="D44" s="21" t="s">
        <v>16</v>
      </c>
      <c r="E44" s="21" t="s">
        <v>118</v>
      </c>
      <c r="F44" s="23">
        <v>1000</v>
      </c>
      <c r="G44" s="15" t="s">
        <v>76</v>
      </c>
      <c r="H44" s="15"/>
      <c r="I44" s="15"/>
    </row>
    <row r="45" spans="1:11" x14ac:dyDescent="0.3">
      <c r="A45" s="8">
        <v>44</v>
      </c>
      <c r="B45" s="9" t="s">
        <v>196</v>
      </c>
      <c r="C45" s="9" t="s">
        <v>197</v>
      </c>
      <c r="D45" s="21"/>
      <c r="E45" s="21"/>
      <c r="F45" s="23"/>
      <c r="G45" s="15"/>
      <c r="H45" s="15"/>
      <c r="I45" s="15"/>
      <c r="J45" t="s">
        <v>241</v>
      </c>
    </row>
    <row r="46" spans="1:11" x14ac:dyDescent="0.3">
      <c r="A46" s="8">
        <v>45</v>
      </c>
      <c r="B46" s="9" t="s">
        <v>198</v>
      </c>
      <c r="C46" s="9" t="s">
        <v>199</v>
      </c>
      <c r="D46" s="21" t="s">
        <v>16</v>
      </c>
      <c r="E46" s="21" t="s">
        <v>167</v>
      </c>
      <c r="F46" s="23">
        <v>500</v>
      </c>
      <c r="G46" s="15"/>
      <c r="H46" s="15"/>
      <c r="I46" s="15"/>
    </row>
    <row r="47" spans="1:11" x14ac:dyDescent="0.3">
      <c r="A47" s="8">
        <v>46</v>
      </c>
      <c r="B47" s="9"/>
      <c r="C47" s="9" t="s">
        <v>200</v>
      </c>
      <c r="D47" s="21" t="s">
        <v>16</v>
      </c>
      <c r="E47" s="21" t="s">
        <v>118</v>
      </c>
      <c r="F47" s="23">
        <v>500</v>
      </c>
      <c r="G47" s="15"/>
      <c r="H47" s="15"/>
      <c r="I47" s="15"/>
    </row>
    <row r="48" spans="1:11" x14ac:dyDescent="0.3">
      <c r="A48" s="8">
        <v>47</v>
      </c>
      <c r="B48" s="9"/>
      <c r="C48" s="9" t="s">
        <v>108</v>
      </c>
      <c r="D48" s="21"/>
      <c r="E48" s="21"/>
      <c r="F48" s="23"/>
      <c r="G48" s="15"/>
      <c r="H48" s="15"/>
      <c r="I48" s="15"/>
      <c r="J48" t="s">
        <v>241</v>
      </c>
    </row>
    <row r="49" spans="1:11" x14ac:dyDescent="0.3">
      <c r="A49" s="8">
        <v>48</v>
      </c>
      <c r="B49" s="9" t="s">
        <v>233</v>
      </c>
      <c r="C49" s="9" t="s">
        <v>234</v>
      </c>
      <c r="D49" s="21" t="s">
        <v>16</v>
      </c>
      <c r="E49" s="21" t="s">
        <v>167</v>
      </c>
      <c r="F49" s="23">
        <v>10000</v>
      </c>
      <c r="G49" s="15"/>
      <c r="H49" s="15"/>
      <c r="I49" s="15"/>
    </row>
    <row r="50" spans="1:11" x14ac:dyDescent="0.3">
      <c r="A50" s="8">
        <v>49</v>
      </c>
      <c r="B50" s="9"/>
      <c r="C50" s="9"/>
      <c r="D50" s="8"/>
      <c r="E50" s="8"/>
      <c r="F50" s="10"/>
      <c r="G50" s="15"/>
      <c r="H50" s="15"/>
      <c r="I50" s="15"/>
    </row>
    <row r="51" spans="1:11" x14ac:dyDescent="0.3">
      <c r="A51" s="8">
        <v>50</v>
      </c>
      <c r="B51" s="9"/>
      <c r="C51" s="9"/>
      <c r="D51" s="8"/>
      <c r="E51" s="8"/>
      <c r="F51" s="10"/>
      <c r="G51" s="15"/>
      <c r="H51" s="15"/>
      <c r="I51" s="15"/>
    </row>
    <row r="52" spans="1:11" x14ac:dyDescent="0.3">
      <c r="A52" s="8">
        <v>51</v>
      </c>
      <c r="B52" s="9"/>
      <c r="C52" s="9"/>
      <c r="D52" s="8"/>
      <c r="E52" s="8"/>
      <c r="F52" s="10"/>
      <c r="G52" s="15"/>
      <c r="H52" s="15"/>
      <c r="I52" s="15"/>
    </row>
    <row r="53" spans="1:11" x14ac:dyDescent="0.3">
      <c r="A53" s="8">
        <v>52</v>
      </c>
      <c r="B53" s="9"/>
      <c r="C53" s="9"/>
      <c r="D53" s="8"/>
      <c r="E53" s="8"/>
      <c r="F53" s="10"/>
      <c r="G53" s="15"/>
      <c r="H53" s="15"/>
      <c r="I53" s="15"/>
    </row>
    <row r="54" spans="1:11" x14ac:dyDescent="0.3">
      <c r="A54" s="8">
        <v>53</v>
      </c>
      <c r="B54" s="9"/>
      <c r="C54" s="9"/>
      <c r="D54" s="8"/>
      <c r="E54" s="8"/>
      <c r="F54" s="10"/>
      <c r="G54" s="15"/>
      <c r="H54" s="15"/>
      <c r="I54" s="15"/>
    </row>
    <row r="55" spans="1:11" x14ac:dyDescent="0.3">
      <c r="A55" s="8">
        <v>54</v>
      </c>
      <c r="B55" s="9"/>
      <c r="C55" s="9"/>
      <c r="D55" s="8"/>
      <c r="E55" s="8"/>
      <c r="F55" s="10"/>
      <c r="G55" s="15"/>
      <c r="H55" s="15"/>
      <c r="I55" s="15"/>
    </row>
    <row r="56" spans="1:11" x14ac:dyDescent="0.3">
      <c r="A56" s="8">
        <v>55</v>
      </c>
      <c r="B56" s="9"/>
      <c r="C56" s="9"/>
      <c r="D56" s="8"/>
      <c r="E56" s="8"/>
      <c r="F56" s="10"/>
      <c r="G56" s="15"/>
      <c r="H56" s="15"/>
      <c r="I56" s="15"/>
    </row>
    <row r="57" spans="1:11" x14ac:dyDescent="0.3">
      <c r="K57" s="44">
        <f>SUM(K2:K43)</f>
        <v>8000</v>
      </c>
    </row>
  </sheetData>
  <autoFilter ref="A1:J57" xr:uid="{2A6A7477-51B7-4FF3-82AA-B082EB04714F}"/>
  <pageMargins left="0.7" right="0.7" top="0.75" bottom="0.75" header="0.3" footer="0.3"/>
  <pageSetup paperSize="5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BF6A-369C-49C3-B56D-0DAB564881D8}">
  <dimension ref="A1:H47"/>
  <sheetViews>
    <sheetView zoomScale="90" zoomScaleNormal="90" workbookViewId="0">
      <selection activeCell="C53" sqref="C53"/>
    </sheetView>
  </sheetViews>
  <sheetFormatPr defaultColWidth="8.77734375" defaultRowHeight="14.4" x14ac:dyDescent="0.3"/>
  <cols>
    <col min="1" max="1" width="4" style="24" customWidth="1"/>
    <col min="2" max="2" width="43.88671875" style="65" customWidth="1"/>
    <col min="3" max="3" width="17.44140625" style="65" customWidth="1"/>
    <col min="4" max="16384" width="8.77734375" style="24"/>
  </cols>
  <sheetData>
    <row r="1" spans="1:8" ht="15.6" x14ac:dyDescent="0.3">
      <c r="A1" s="96" t="s">
        <v>259</v>
      </c>
      <c r="B1" s="96"/>
      <c r="C1" s="96"/>
      <c r="D1" s="96"/>
      <c r="E1" s="96"/>
      <c r="F1" s="96"/>
      <c r="G1" s="96"/>
      <c r="H1" s="96"/>
    </row>
    <row r="2" spans="1:8" ht="15.6" x14ac:dyDescent="0.3">
      <c r="A2" s="62"/>
      <c r="B2" s="63"/>
      <c r="C2" s="62"/>
      <c r="D2" s="62"/>
      <c r="E2" s="62"/>
    </row>
    <row r="3" spans="1:8" s="64" customFormat="1" x14ac:dyDescent="0.3">
      <c r="B3" s="71" t="s">
        <v>14</v>
      </c>
      <c r="C3" s="72" t="s">
        <v>15</v>
      </c>
    </row>
    <row r="4" spans="1:8" x14ac:dyDescent="0.3">
      <c r="B4" s="65" t="s">
        <v>3</v>
      </c>
      <c r="C4" s="65">
        <v>14000</v>
      </c>
    </row>
    <row r="5" spans="1:8" x14ac:dyDescent="0.3">
      <c r="B5" s="65" t="s">
        <v>211</v>
      </c>
      <c r="C5" s="65">
        <f>1045*80</f>
        <v>83600</v>
      </c>
    </row>
    <row r="6" spans="1:8" x14ac:dyDescent="0.3">
      <c r="B6" s="65" t="s">
        <v>4</v>
      </c>
      <c r="C6" s="65">
        <v>3500</v>
      </c>
    </row>
    <row r="7" spans="1:8" x14ac:dyDescent="0.3">
      <c r="B7" s="65" t="s">
        <v>5</v>
      </c>
      <c r="C7" s="65">
        <v>3000</v>
      </c>
    </row>
    <row r="8" spans="1:8" x14ac:dyDescent="0.3">
      <c r="B8" s="66" t="s">
        <v>256</v>
      </c>
      <c r="C8" s="66">
        <v>1000</v>
      </c>
    </row>
    <row r="9" spans="1:8" x14ac:dyDescent="0.3">
      <c r="B9" s="66" t="s">
        <v>223</v>
      </c>
      <c r="C9" s="66">
        <v>70</v>
      </c>
    </row>
    <row r="10" spans="1:8" x14ac:dyDescent="0.3">
      <c r="B10" s="66" t="s">
        <v>251</v>
      </c>
      <c r="C10" s="66">
        <v>2000</v>
      </c>
    </row>
    <row r="11" spans="1:8" x14ac:dyDescent="0.3">
      <c r="B11" s="66"/>
      <c r="C11" s="66"/>
    </row>
    <row r="12" spans="1:8" x14ac:dyDescent="0.3">
      <c r="B12" s="65" t="s">
        <v>81</v>
      </c>
      <c r="C12" s="65">
        <v>5000</v>
      </c>
    </row>
    <row r="13" spans="1:8" x14ac:dyDescent="0.3">
      <c r="B13" s="65" t="s">
        <v>87</v>
      </c>
      <c r="C13" s="65">
        <f>7200+1800</f>
        <v>9000</v>
      </c>
    </row>
    <row r="14" spans="1:8" x14ac:dyDescent="0.3">
      <c r="B14" s="65" t="s">
        <v>212</v>
      </c>
      <c r="C14" s="65">
        <f>4200+300</f>
        <v>4500</v>
      </c>
    </row>
    <row r="15" spans="1:8" x14ac:dyDescent="0.3">
      <c r="B15" s="65" t="s">
        <v>2</v>
      </c>
      <c r="C15" s="65">
        <v>5440</v>
      </c>
    </row>
    <row r="16" spans="1:8" x14ac:dyDescent="0.3">
      <c r="B16" s="65" t="s">
        <v>4</v>
      </c>
      <c r="C16" s="65">
        <v>500</v>
      </c>
    </row>
    <row r="17" spans="2:3" x14ac:dyDescent="0.3">
      <c r="B17" s="65" t="s">
        <v>213</v>
      </c>
      <c r="C17" s="65">
        <v>5000</v>
      </c>
    </row>
    <row r="18" spans="2:3" x14ac:dyDescent="0.3">
      <c r="B18" s="65" t="s">
        <v>214</v>
      </c>
      <c r="C18" s="65">
        <v>600</v>
      </c>
    </row>
    <row r="19" spans="2:3" x14ac:dyDescent="0.3">
      <c r="C19" s="67"/>
    </row>
    <row r="20" spans="2:3" x14ac:dyDescent="0.3">
      <c r="B20" s="65" t="s">
        <v>333</v>
      </c>
      <c r="C20" s="65">
        <f>450*103</f>
        <v>46350</v>
      </c>
    </row>
    <row r="21" spans="2:3" x14ac:dyDescent="0.3">
      <c r="B21" s="65" t="s">
        <v>334</v>
      </c>
      <c r="C21" s="65">
        <v>1650</v>
      </c>
    </row>
    <row r="23" spans="2:3" x14ac:dyDescent="0.3">
      <c r="B23" s="65" t="s">
        <v>215</v>
      </c>
      <c r="C23" s="65">
        <v>7430</v>
      </c>
    </row>
    <row r="24" spans="2:3" x14ac:dyDescent="0.3">
      <c r="B24" s="65" t="s">
        <v>217</v>
      </c>
      <c r="C24" s="65">
        <v>356</v>
      </c>
    </row>
    <row r="26" spans="2:3" x14ac:dyDescent="0.3">
      <c r="B26" s="65" t="s">
        <v>216</v>
      </c>
      <c r="C26" s="65">
        <v>400</v>
      </c>
    </row>
    <row r="27" spans="2:3" x14ac:dyDescent="0.3">
      <c r="B27" s="65" t="s">
        <v>218</v>
      </c>
      <c r="C27" s="65">
        <v>360</v>
      </c>
    </row>
    <row r="28" spans="2:3" x14ac:dyDescent="0.3">
      <c r="B28" s="65" t="s">
        <v>258</v>
      </c>
      <c r="C28" s="65">
        <v>84</v>
      </c>
    </row>
    <row r="29" spans="2:3" x14ac:dyDescent="0.3">
      <c r="B29" s="65" t="s">
        <v>219</v>
      </c>
      <c r="C29" s="65">
        <v>36</v>
      </c>
    </row>
    <row r="30" spans="2:3" x14ac:dyDescent="0.3">
      <c r="B30" s="65" t="s">
        <v>220</v>
      </c>
      <c r="C30" s="65">
        <v>140</v>
      </c>
    </row>
    <row r="31" spans="2:3" x14ac:dyDescent="0.3">
      <c r="B31" s="65" t="s">
        <v>221</v>
      </c>
      <c r="C31" s="65">
        <v>649</v>
      </c>
    </row>
    <row r="32" spans="2:3" x14ac:dyDescent="0.3">
      <c r="B32" s="65" t="s">
        <v>222</v>
      </c>
      <c r="C32" s="65">
        <v>39</v>
      </c>
    </row>
    <row r="33" spans="2:3" x14ac:dyDescent="0.3">
      <c r="B33" s="65" t="s">
        <v>255</v>
      </c>
      <c r="C33" s="65">
        <v>70</v>
      </c>
    </row>
    <row r="34" spans="2:3" x14ac:dyDescent="0.3">
      <c r="B34" s="65" t="s">
        <v>257</v>
      </c>
      <c r="C34" s="65">
        <v>225</v>
      </c>
    </row>
    <row r="35" spans="2:3" x14ac:dyDescent="0.3">
      <c r="B35" s="65" t="s">
        <v>224</v>
      </c>
      <c r="C35" s="65">
        <v>638</v>
      </c>
    </row>
    <row r="36" spans="2:3" x14ac:dyDescent="0.3">
      <c r="B36" s="68" t="s">
        <v>246</v>
      </c>
      <c r="C36" s="65">
        <v>425</v>
      </c>
    </row>
    <row r="37" spans="2:3" x14ac:dyDescent="0.3">
      <c r="B37" s="68" t="s">
        <v>247</v>
      </c>
      <c r="C37" s="65">
        <v>170</v>
      </c>
    </row>
    <row r="38" spans="2:3" x14ac:dyDescent="0.3">
      <c r="B38" s="68" t="s">
        <v>248</v>
      </c>
      <c r="C38" s="65">
        <v>440</v>
      </c>
    </row>
    <row r="39" spans="2:3" x14ac:dyDescent="0.3">
      <c r="B39" s="68" t="s">
        <v>248</v>
      </c>
      <c r="C39" s="65">
        <v>290</v>
      </c>
    </row>
    <row r="40" spans="2:3" x14ac:dyDescent="0.3">
      <c r="B40" s="68" t="s">
        <v>329</v>
      </c>
      <c r="C40" s="65">
        <v>300</v>
      </c>
    </row>
    <row r="41" spans="2:3" x14ac:dyDescent="0.3">
      <c r="B41" s="68" t="s">
        <v>330</v>
      </c>
      <c r="C41" s="65">
        <v>150</v>
      </c>
    </row>
    <row r="42" spans="2:3" x14ac:dyDescent="0.3">
      <c r="B42" s="68" t="s">
        <v>335</v>
      </c>
      <c r="C42" s="65">
        <v>2798</v>
      </c>
    </row>
    <row r="43" spans="2:3" x14ac:dyDescent="0.3">
      <c r="B43" s="68" t="s">
        <v>331</v>
      </c>
      <c r="C43" s="65">
        <v>7800</v>
      </c>
    </row>
    <row r="44" spans="2:3" ht="15.6" x14ac:dyDescent="0.3">
      <c r="B44" s="69" t="s">
        <v>226</v>
      </c>
      <c r="C44" s="70">
        <f>SUM(C4:C43)</f>
        <v>208010</v>
      </c>
    </row>
    <row r="45" spans="2:3" x14ac:dyDescent="0.3">
      <c r="B45" s="68"/>
    </row>
    <row r="46" spans="2:3" x14ac:dyDescent="0.3">
      <c r="B46" s="68"/>
    </row>
    <row r="47" spans="2:3" x14ac:dyDescent="0.3">
      <c r="B47" s="68"/>
    </row>
  </sheetData>
  <mergeCells count="2">
    <mergeCell ref="A1:E1"/>
    <mergeCell ref="F1:H1"/>
  </mergeCells>
  <pageMargins left="0.7" right="0.7" top="0.75" bottom="0.75" header="0.3" footer="0.3"/>
  <pageSetup orientation="portrait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8E00-B13A-4528-AC0E-F61FE2E8D24E}">
  <dimension ref="A1:M40"/>
  <sheetViews>
    <sheetView zoomScale="73" zoomScaleNormal="55" workbookViewId="0">
      <selection activeCell="A47" sqref="A47:XFD154"/>
    </sheetView>
  </sheetViews>
  <sheetFormatPr defaultRowHeight="14.4" x14ac:dyDescent="0.3"/>
  <cols>
    <col min="1" max="1" width="3.6640625" bestFit="1" customWidth="1"/>
    <col min="2" max="2" width="25" customWidth="1"/>
    <col min="3" max="3" width="15.6640625" customWidth="1"/>
    <col min="4" max="4" width="13.109375" customWidth="1"/>
    <col min="5" max="5" width="11.88671875" customWidth="1"/>
    <col min="6" max="6" width="15.44140625" style="38" customWidth="1"/>
    <col min="7" max="8" width="4.21875" bestFit="1" customWidth="1"/>
    <col min="9" max="9" width="21.77734375" customWidth="1"/>
    <col min="10" max="10" width="21" customWidth="1"/>
    <col min="11" max="11" width="11.88671875" customWidth="1"/>
    <col min="12" max="12" width="15.44140625" customWidth="1"/>
    <col min="13" max="13" width="12.77734375" bestFit="1" customWidth="1"/>
  </cols>
  <sheetData>
    <row r="1" spans="1:13" ht="15.6" x14ac:dyDescent="0.3">
      <c r="A1" s="97" t="s">
        <v>237</v>
      </c>
      <c r="B1" s="97"/>
      <c r="C1" s="97"/>
      <c r="D1" s="97"/>
      <c r="E1" s="97"/>
      <c r="F1" s="97"/>
      <c r="H1" s="98" t="s">
        <v>237</v>
      </c>
      <c r="I1" s="98"/>
      <c r="J1" s="98"/>
      <c r="K1" s="98"/>
      <c r="L1" s="98"/>
      <c r="M1" s="98"/>
    </row>
    <row r="2" spans="1:13" ht="15.6" x14ac:dyDescent="0.3">
      <c r="A2" s="99"/>
      <c r="B2" s="99"/>
      <c r="C2" s="99"/>
      <c r="D2" s="99"/>
      <c r="E2" s="99"/>
      <c r="F2" s="99"/>
    </row>
    <row r="3" spans="1:13" ht="15.6" x14ac:dyDescent="0.3">
      <c r="A3" s="36" t="s">
        <v>207</v>
      </c>
      <c r="B3" s="36" t="s">
        <v>109</v>
      </c>
      <c r="C3" s="36" t="s">
        <v>90</v>
      </c>
      <c r="D3" s="36" t="s">
        <v>110</v>
      </c>
      <c r="E3" s="36" t="s">
        <v>111</v>
      </c>
      <c r="F3" s="45" t="s">
        <v>15</v>
      </c>
      <c r="H3" s="36" t="s">
        <v>207</v>
      </c>
      <c r="I3" s="36" t="s">
        <v>109</v>
      </c>
      <c r="J3" s="36" t="s">
        <v>90</v>
      </c>
      <c r="K3" s="36" t="s">
        <v>110</v>
      </c>
      <c r="L3" s="36" t="s">
        <v>111</v>
      </c>
      <c r="M3" s="37" t="s">
        <v>15</v>
      </c>
    </row>
    <row r="4" spans="1:13" ht="15.6" x14ac:dyDescent="0.3">
      <c r="A4" s="8">
        <v>1</v>
      </c>
      <c r="B4" s="9" t="s">
        <v>125</v>
      </c>
      <c r="C4" s="9" t="s">
        <v>126</v>
      </c>
      <c r="D4" s="8" t="s">
        <v>16</v>
      </c>
      <c r="E4" s="8" t="s">
        <v>167</v>
      </c>
      <c r="F4" s="34">
        <v>500</v>
      </c>
      <c r="H4" s="8">
        <v>1</v>
      </c>
      <c r="I4" s="9" t="s">
        <v>116</v>
      </c>
      <c r="J4" s="9" t="s">
        <v>117</v>
      </c>
      <c r="K4" s="8" t="s">
        <v>16</v>
      </c>
      <c r="L4" s="8" t="s">
        <v>118</v>
      </c>
      <c r="M4" s="40">
        <v>500</v>
      </c>
    </row>
    <row r="5" spans="1:13" ht="15.6" x14ac:dyDescent="0.3">
      <c r="A5" s="8">
        <v>2</v>
      </c>
      <c r="B5" s="9" t="s">
        <v>140</v>
      </c>
      <c r="C5" s="9" t="s">
        <v>141</v>
      </c>
      <c r="D5" s="8" t="s">
        <v>16</v>
      </c>
      <c r="E5" s="8" t="s">
        <v>167</v>
      </c>
      <c r="F5" s="34">
        <v>1000</v>
      </c>
      <c r="H5" s="8">
        <v>2</v>
      </c>
      <c r="I5" s="9" t="s">
        <v>119</v>
      </c>
      <c r="J5" s="9" t="s">
        <v>120</v>
      </c>
      <c r="K5" s="8" t="s">
        <v>16</v>
      </c>
      <c r="L5" s="8" t="s">
        <v>118</v>
      </c>
      <c r="M5" s="40">
        <v>500</v>
      </c>
    </row>
    <row r="6" spans="1:13" ht="15.6" x14ac:dyDescent="0.3">
      <c r="A6" s="8">
        <v>3</v>
      </c>
      <c r="B6" s="9" t="s">
        <v>160</v>
      </c>
      <c r="C6" s="9" t="s">
        <v>161</v>
      </c>
      <c r="D6" s="8" t="s">
        <v>16</v>
      </c>
      <c r="E6" s="8" t="s">
        <v>167</v>
      </c>
      <c r="F6" s="34">
        <v>500</v>
      </c>
      <c r="H6" s="8">
        <v>3</v>
      </c>
      <c r="I6" s="9" t="s">
        <v>121</v>
      </c>
      <c r="J6" s="9" t="s">
        <v>122</v>
      </c>
      <c r="K6" s="8" t="s">
        <v>16</v>
      </c>
      <c r="L6" s="8" t="s">
        <v>118</v>
      </c>
      <c r="M6" s="40">
        <v>500</v>
      </c>
    </row>
    <row r="7" spans="1:13" ht="15.6" x14ac:dyDescent="0.3">
      <c r="A7" s="8">
        <v>4</v>
      </c>
      <c r="B7" s="9" t="s">
        <v>260</v>
      </c>
      <c r="C7" s="9" t="s">
        <v>166</v>
      </c>
      <c r="D7" s="8" t="s">
        <v>16</v>
      </c>
      <c r="E7" s="8" t="s">
        <v>167</v>
      </c>
      <c r="F7" s="34">
        <v>1000</v>
      </c>
      <c r="H7" s="8">
        <v>4</v>
      </c>
      <c r="I7" s="9" t="s">
        <v>123</v>
      </c>
      <c r="J7" s="9" t="s">
        <v>124</v>
      </c>
      <c r="K7" s="8" t="s">
        <v>16</v>
      </c>
      <c r="L7" s="8" t="s">
        <v>118</v>
      </c>
      <c r="M7" s="40">
        <v>500</v>
      </c>
    </row>
    <row r="8" spans="1:13" ht="15.6" x14ac:dyDescent="0.3">
      <c r="A8" s="8">
        <v>5</v>
      </c>
      <c r="B8" s="9" t="s">
        <v>176</v>
      </c>
      <c r="C8" s="9" t="s">
        <v>177</v>
      </c>
      <c r="D8" s="8" t="s">
        <v>16</v>
      </c>
      <c r="E8" s="8" t="s">
        <v>167</v>
      </c>
      <c r="F8" s="34">
        <v>1500</v>
      </c>
      <c r="H8" s="8">
        <v>5</v>
      </c>
      <c r="I8" s="9" t="s">
        <v>129</v>
      </c>
      <c r="J8" s="9" t="s">
        <v>130</v>
      </c>
      <c r="K8" s="8" t="s">
        <v>16</v>
      </c>
      <c r="L8" s="8" t="s">
        <v>118</v>
      </c>
      <c r="M8" s="40">
        <v>500</v>
      </c>
    </row>
    <row r="9" spans="1:13" ht="15.6" x14ac:dyDescent="0.3">
      <c r="A9" s="8">
        <v>6</v>
      </c>
      <c r="B9" s="9" t="s">
        <v>182</v>
      </c>
      <c r="C9" s="9" t="s">
        <v>183</v>
      </c>
      <c r="D9" s="8" t="s">
        <v>16</v>
      </c>
      <c r="E9" s="8" t="s">
        <v>167</v>
      </c>
      <c r="F9" s="34">
        <v>1000</v>
      </c>
      <c r="H9" s="8">
        <v>6</v>
      </c>
      <c r="I9" s="9" t="s">
        <v>131</v>
      </c>
      <c r="J9" s="9" t="s">
        <v>132</v>
      </c>
      <c r="K9" s="8" t="s">
        <v>16</v>
      </c>
      <c r="L9" s="8" t="s">
        <v>118</v>
      </c>
      <c r="M9" s="40">
        <v>2000</v>
      </c>
    </row>
    <row r="10" spans="1:13" ht="15.6" x14ac:dyDescent="0.3">
      <c r="A10" s="8">
        <v>7</v>
      </c>
      <c r="B10" s="9" t="s">
        <v>186</v>
      </c>
      <c r="C10" s="9" t="s">
        <v>187</v>
      </c>
      <c r="D10" s="8" t="s">
        <v>16</v>
      </c>
      <c r="E10" s="8" t="s">
        <v>167</v>
      </c>
      <c r="F10" s="34">
        <v>500</v>
      </c>
      <c r="H10" s="8">
        <v>7</v>
      </c>
      <c r="I10" s="9" t="s">
        <v>136</v>
      </c>
      <c r="J10" s="9" t="s">
        <v>137</v>
      </c>
      <c r="K10" s="8" t="s">
        <v>16</v>
      </c>
      <c r="L10" s="8" t="s">
        <v>118</v>
      </c>
      <c r="M10" s="40">
        <v>1000</v>
      </c>
    </row>
    <row r="11" spans="1:13" ht="15.6" x14ac:dyDescent="0.3">
      <c r="A11" s="8">
        <v>8</v>
      </c>
      <c r="B11" s="9" t="s">
        <v>191</v>
      </c>
      <c r="C11" s="9" t="s">
        <v>192</v>
      </c>
      <c r="D11" s="8" t="s">
        <v>16</v>
      </c>
      <c r="E11" s="8" t="s">
        <v>167</v>
      </c>
      <c r="F11" s="34">
        <v>1000</v>
      </c>
      <c r="H11" s="8">
        <v>8</v>
      </c>
      <c r="I11" s="9" t="s">
        <v>144</v>
      </c>
      <c r="J11" s="9" t="s">
        <v>145</v>
      </c>
      <c r="K11" s="8" t="s">
        <v>16</v>
      </c>
      <c r="L11" s="8" t="s">
        <v>118</v>
      </c>
      <c r="M11" s="40">
        <v>1000</v>
      </c>
    </row>
    <row r="12" spans="1:13" ht="15.6" x14ac:dyDescent="0.3">
      <c r="A12" s="8">
        <v>9</v>
      </c>
      <c r="B12" s="9" t="s">
        <v>198</v>
      </c>
      <c r="C12" s="9" t="s">
        <v>199</v>
      </c>
      <c r="D12" s="8" t="s">
        <v>16</v>
      </c>
      <c r="E12" s="8" t="s">
        <v>167</v>
      </c>
      <c r="F12" s="35">
        <v>500</v>
      </c>
      <c r="H12" s="8">
        <v>9</v>
      </c>
      <c r="I12" s="9" t="s">
        <v>146</v>
      </c>
      <c r="J12" s="9" t="s">
        <v>147</v>
      </c>
      <c r="K12" s="8" t="s">
        <v>16</v>
      </c>
      <c r="L12" s="8" t="s">
        <v>118</v>
      </c>
      <c r="M12" s="40">
        <v>1000</v>
      </c>
    </row>
    <row r="13" spans="1:13" ht="15.6" x14ac:dyDescent="0.3">
      <c r="A13" s="8">
        <v>10</v>
      </c>
      <c r="B13" s="9" t="s">
        <v>233</v>
      </c>
      <c r="C13" s="9" t="s">
        <v>234</v>
      </c>
      <c r="D13" s="8" t="s">
        <v>16</v>
      </c>
      <c r="E13" s="8" t="s">
        <v>167</v>
      </c>
      <c r="F13" s="35">
        <v>10000</v>
      </c>
      <c r="H13" s="8">
        <v>10</v>
      </c>
      <c r="I13" s="9" t="s">
        <v>148</v>
      </c>
      <c r="J13" s="9" t="s">
        <v>149</v>
      </c>
      <c r="K13" s="8" t="s">
        <v>16</v>
      </c>
      <c r="L13" s="8" t="s">
        <v>118</v>
      </c>
      <c r="M13" s="40">
        <v>500</v>
      </c>
    </row>
    <row r="14" spans="1:13" ht="15.6" x14ac:dyDescent="0.3">
      <c r="A14" s="100" t="s">
        <v>235</v>
      </c>
      <c r="B14" s="100"/>
      <c r="C14" s="100"/>
      <c r="D14" s="100"/>
      <c r="E14" s="100"/>
      <c r="F14" s="61">
        <f>SUM(F4:F13)</f>
        <v>17500</v>
      </c>
      <c r="H14" s="8">
        <v>11</v>
      </c>
      <c r="I14" s="9" t="s">
        <v>162</v>
      </c>
      <c r="J14" s="9" t="s">
        <v>163</v>
      </c>
      <c r="K14" s="8" t="s">
        <v>16</v>
      </c>
      <c r="L14" s="8" t="s">
        <v>118</v>
      </c>
      <c r="M14" s="40">
        <v>2000</v>
      </c>
    </row>
    <row r="15" spans="1:13" ht="15.6" x14ac:dyDescent="0.3">
      <c r="H15" s="8">
        <v>12</v>
      </c>
      <c r="I15" s="9" t="s">
        <v>164</v>
      </c>
      <c r="J15" s="9" t="s">
        <v>165</v>
      </c>
      <c r="K15" s="8" t="s">
        <v>16</v>
      </c>
      <c r="L15" s="8" t="s">
        <v>118</v>
      </c>
      <c r="M15" s="40">
        <v>500</v>
      </c>
    </row>
    <row r="16" spans="1:13" ht="15.6" x14ac:dyDescent="0.3">
      <c r="B16" s="47" t="s">
        <v>252</v>
      </c>
      <c r="H16" s="8">
        <v>13</v>
      </c>
      <c r="I16" s="9" t="s">
        <v>172</v>
      </c>
      <c r="J16" s="9" t="s">
        <v>173</v>
      </c>
      <c r="K16" s="8" t="s">
        <v>16</v>
      </c>
      <c r="L16" s="8" t="s">
        <v>118</v>
      </c>
      <c r="M16" s="40">
        <v>1000</v>
      </c>
    </row>
    <row r="17" spans="2:13" ht="15.6" x14ac:dyDescent="0.3">
      <c r="B17" t="s">
        <v>45</v>
      </c>
      <c r="C17" t="s">
        <v>236</v>
      </c>
      <c r="F17" s="38">
        <v>1000</v>
      </c>
      <c r="H17" s="8">
        <v>14</v>
      </c>
      <c r="I17" s="9" t="s">
        <v>178</v>
      </c>
      <c r="J17" s="9" t="s">
        <v>179</v>
      </c>
      <c r="K17" s="8" t="s">
        <v>16</v>
      </c>
      <c r="L17" s="8" t="s">
        <v>118</v>
      </c>
      <c r="M17" s="40">
        <v>2000</v>
      </c>
    </row>
    <row r="18" spans="2:13" ht="15.6" x14ac:dyDescent="0.3">
      <c r="B18" t="s">
        <v>228</v>
      </c>
      <c r="C18" t="s">
        <v>210</v>
      </c>
      <c r="F18" s="38">
        <v>200</v>
      </c>
      <c r="H18" s="8">
        <v>15</v>
      </c>
      <c r="I18" s="9" t="s">
        <v>180</v>
      </c>
      <c r="J18" s="9" t="s">
        <v>181</v>
      </c>
      <c r="K18" s="8" t="s">
        <v>16</v>
      </c>
      <c r="L18" s="8" t="s">
        <v>118</v>
      </c>
      <c r="M18" s="40">
        <v>500</v>
      </c>
    </row>
    <row r="19" spans="2:13" ht="15.6" x14ac:dyDescent="0.3">
      <c r="H19" s="8">
        <v>16</v>
      </c>
      <c r="I19" s="9" t="s">
        <v>184</v>
      </c>
      <c r="J19" s="9" t="s">
        <v>185</v>
      </c>
      <c r="K19" s="8" t="s">
        <v>16</v>
      </c>
      <c r="L19" s="8" t="s">
        <v>118</v>
      </c>
      <c r="M19" s="40">
        <v>500</v>
      </c>
    </row>
    <row r="20" spans="2:13" ht="15.6" x14ac:dyDescent="0.3">
      <c r="H20" s="8">
        <v>17</v>
      </c>
      <c r="I20" s="9" t="s">
        <v>195</v>
      </c>
      <c r="J20" s="9" t="s">
        <v>44</v>
      </c>
      <c r="K20" s="8" t="s">
        <v>16</v>
      </c>
      <c r="L20" s="8" t="s">
        <v>118</v>
      </c>
      <c r="M20" s="41">
        <v>1000</v>
      </c>
    </row>
    <row r="21" spans="2:13" ht="17.399999999999999" x14ac:dyDescent="0.45">
      <c r="E21" s="43" t="s">
        <v>80</v>
      </c>
      <c r="F21" s="42">
        <f>F14+F17+F18</f>
        <v>18700</v>
      </c>
      <c r="H21" s="8">
        <v>18</v>
      </c>
      <c r="I21" s="9"/>
      <c r="J21" s="9" t="s">
        <v>200</v>
      </c>
      <c r="K21" s="8" t="s">
        <v>16</v>
      </c>
      <c r="L21" s="8" t="s">
        <v>118</v>
      </c>
      <c r="M21" s="41">
        <v>500</v>
      </c>
    </row>
    <row r="22" spans="2:13" ht="15.6" x14ac:dyDescent="0.3">
      <c r="H22" s="8">
        <v>19</v>
      </c>
      <c r="I22" s="9" t="s">
        <v>174</v>
      </c>
      <c r="J22" s="9" t="s">
        <v>175</v>
      </c>
      <c r="K22" s="8" t="s">
        <v>16</v>
      </c>
      <c r="L22" s="8" t="s">
        <v>118</v>
      </c>
      <c r="M22" s="41">
        <v>2000</v>
      </c>
    </row>
    <row r="23" spans="2:13" ht="15.6" x14ac:dyDescent="0.3">
      <c r="H23" s="8">
        <v>20</v>
      </c>
      <c r="I23" s="9" t="s">
        <v>152</v>
      </c>
      <c r="J23" s="9" t="s">
        <v>153</v>
      </c>
      <c r="K23" s="8" t="s">
        <v>16</v>
      </c>
      <c r="L23" s="8" t="s">
        <v>118</v>
      </c>
      <c r="M23" s="41">
        <f>2700+1350</f>
        <v>4050</v>
      </c>
    </row>
    <row r="24" spans="2:13" x14ac:dyDescent="0.3">
      <c r="B24" s="46" t="s">
        <v>243</v>
      </c>
      <c r="H24" s="100" t="s">
        <v>238</v>
      </c>
      <c r="I24" s="100"/>
      <c r="J24" s="100"/>
      <c r="K24" s="100"/>
      <c r="L24" s="100"/>
      <c r="M24" s="61">
        <f>SUM(M4:M23)</f>
        <v>22050</v>
      </c>
    </row>
    <row r="25" spans="2:13" ht="15.6" x14ac:dyDescent="0.3">
      <c r="B25" t="s">
        <v>244</v>
      </c>
      <c r="F25" s="38">
        <v>5000</v>
      </c>
      <c r="I25" s="47" t="s">
        <v>253</v>
      </c>
    </row>
    <row r="26" spans="2:13" x14ac:dyDescent="0.3">
      <c r="B26" t="s">
        <v>245</v>
      </c>
      <c r="F26" s="38">
        <v>1000</v>
      </c>
      <c r="I26" t="s">
        <v>228</v>
      </c>
      <c r="J26" t="s">
        <v>332</v>
      </c>
      <c r="M26" s="38">
        <v>1000</v>
      </c>
    </row>
    <row r="27" spans="2:13" x14ac:dyDescent="0.3">
      <c r="B27" t="s">
        <v>251</v>
      </c>
      <c r="F27" s="38">
        <v>2000</v>
      </c>
      <c r="I27" t="s">
        <v>239</v>
      </c>
      <c r="J27" t="s">
        <v>240</v>
      </c>
      <c r="M27" s="38">
        <v>420</v>
      </c>
    </row>
    <row r="28" spans="2:13" x14ac:dyDescent="0.3">
      <c r="B28" t="s">
        <v>223</v>
      </c>
      <c r="F28" s="38">
        <v>70</v>
      </c>
      <c r="I28" t="s">
        <v>30</v>
      </c>
      <c r="J28" t="s">
        <v>242</v>
      </c>
      <c r="M28" s="38">
        <v>420</v>
      </c>
    </row>
    <row r="29" spans="2:13" x14ac:dyDescent="0.3">
      <c r="B29" t="s">
        <v>224</v>
      </c>
      <c r="F29" s="38">
        <v>638</v>
      </c>
      <c r="M29" s="39">
        <f>SUM(M26:M28)</f>
        <v>1840</v>
      </c>
    </row>
    <row r="30" spans="2:13" x14ac:dyDescent="0.3">
      <c r="B30" t="s">
        <v>225</v>
      </c>
      <c r="F30" s="38">
        <v>225</v>
      </c>
    </row>
    <row r="31" spans="2:13" ht="16.2" x14ac:dyDescent="0.45">
      <c r="B31" t="s">
        <v>246</v>
      </c>
      <c r="F31" s="38">
        <v>425</v>
      </c>
      <c r="L31" s="43" t="s">
        <v>80</v>
      </c>
      <c r="M31" s="42">
        <f>M24+M29</f>
        <v>23890</v>
      </c>
    </row>
    <row r="32" spans="2:13" x14ac:dyDescent="0.3">
      <c r="B32" t="s">
        <v>247</v>
      </c>
      <c r="F32" s="38">
        <v>170</v>
      </c>
    </row>
    <row r="33" spans="2:13" x14ac:dyDescent="0.3">
      <c r="B33" t="s">
        <v>248</v>
      </c>
      <c r="F33" s="38">
        <f>145+145+150</f>
        <v>440</v>
      </c>
    </row>
    <row r="34" spans="2:13" ht="15.6" x14ac:dyDescent="0.3">
      <c r="B34" t="s">
        <v>248</v>
      </c>
      <c r="F34" s="38">
        <f>145*2</f>
        <v>290</v>
      </c>
      <c r="H34" s="8">
        <v>1</v>
      </c>
      <c r="I34" s="9" t="s">
        <v>152</v>
      </c>
      <c r="J34" s="9" t="s">
        <v>153</v>
      </c>
      <c r="K34" s="8" t="s">
        <v>16</v>
      </c>
      <c r="L34" s="8" t="s">
        <v>262</v>
      </c>
      <c r="M34" s="41">
        <v>1500</v>
      </c>
    </row>
    <row r="35" spans="2:13" ht="15.6" x14ac:dyDescent="0.3">
      <c r="B35" t="s">
        <v>249</v>
      </c>
      <c r="F35" s="38">
        <v>300</v>
      </c>
      <c r="H35" s="8">
        <v>2</v>
      </c>
      <c r="I35" s="102" t="s">
        <v>327</v>
      </c>
      <c r="J35" s="103"/>
      <c r="K35" s="8" t="s">
        <v>16</v>
      </c>
      <c r="L35" s="8" t="s">
        <v>262</v>
      </c>
      <c r="M35" s="41">
        <v>20000</v>
      </c>
    </row>
    <row r="36" spans="2:13" ht="15.6" x14ac:dyDescent="0.3">
      <c r="B36" t="s">
        <v>250</v>
      </c>
      <c r="F36" s="38">
        <v>150</v>
      </c>
      <c r="H36" s="8">
        <v>3</v>
      </c>
      <c r="I36" s="102" t="s">
        <v>266</v>
      </c>
      <c r="J36" s="103"/>
      <c r="K36" s="8" t="s">
        <v>16</v>
      </c>
      <c r="L36" s="8" t="s">
        <v>262</v>
      </c>
      <c r="M36" s="41">
        <v>40000</v>
      </c>
    </row>
    <row r="37" spans="2:13" ht="15.6" x14ac:dyDescent="0.3">
      <c r="B37" t="s">
        <v>261</v>
      </c>
      <c r="F37" s="38">
        <v>4000</v>
      </c>
      <c r="H37" s="8">
        <v>4</v>
      </c>
      <c r="I37" s="102" t="s">
        <v>265</v>
      </c>
      <c r="J37" s="103"/>
      <c r="K37" s="8" t="s">
        <v>16</v>
      </c>
      <c r="L37" s="8" t="s">
        <v>262</v>
      </c>
      <c r="M37" s="41">
        <v>20000</v>
      </c>
    </row>
    <row r="38" spans="2:13" ht="15.6" x14ac:dyDescent="0.3">
      <c r="B38" s="43" t="s">
        <v>226</v>
      </c>
      <c r="C38" s="43"/>
      <c r="D38" s="43"/>
      <c r="E38" s="43"/>
      <c r="F38" s="39">
        <f>SUM(F25:F37)</f>
        <v>14708</v>
      </c>
      <c r="H38" s="8">
        <v>5</v>
      </c>
      <c r="I38" s="50" t="s">
        <v>264</v>
      </c>
      <c r="J38" s="51"/>
      <c r="K38" s="8" t="s">
        <v>16</v>
      </c>
      <c r="L38" s="8" t="s">
        <v>262</v>
      </c>
      <c r="M38" s="41">
        <v>15000</v>
      </c>
    </row>
    <row r="39" spans="2:13" x14ac:dyDescent="0.3">
      <c r="B39" s="48"/>
      <c r="C39" s="48"/>
      <c r="D39" s="48"/>
      <c r="E39" s="48"/>
      <c r="F39" s="49"/>
      <c r="H39" s="100" t="s">
        <v>263</v>
      </c>
      <c r="I39" s="100"/>
      <c r="J39" s="100"/>
      <c r="K39" s="100"/>
      <c r="L39" s="100"/>
      <c r="M39" s="61">
        <f>SUM(M34:M38)</f>
        <v>96500</v>
      </c>
    </row>
    <row r="40" spans="2:13" x14ac:dyDescent="0.3">
      <c r="B40" s="101" t="s">
        <v>254</v>
      </c>
      <c r="C40" s="101"/>
      <c r="D40" s="101"/>
      <c r="E40" s="101"/>
      <c r="F40" s="39">
        <f>F21-F38</f>
        <v>3992</v>
      </c>
    </row>
  </sheetData>
  <mergeCells count="10">
    <mergeCell ref="B40:E40"/>
    <mergeCell ref="H39:L39"/>
    <mergeCell ref="I35:J35"/>
    <mergeCell ref="I37:J37"/>
    <mergeCell ref="I36:J36"/>
    <mergeCell ref="A1:F1"/>
    <mergeCell ref="H1:M1"/>
    <mergeCell ref="A2:F2"/>
    <mergeCell ref="A14:E14"/>
    <mergeCell ref="H24:L24"/>
  </mergeCells>
  <pageMargins left="0.7" right="0.7" top="0.75" bottom="0.75" header="0.3" footer="0.3"/>
  <pageSetup orientation="portrait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0E2D-4ABD-4BC7-82D0-23312E2A1109}">
  <dimension ref="B2:M15"/>
  <sheetViews>
    <sheetView zoomScale="140" zoomScaleNormal="140" workbookViewId="0">
      <selection activeCell="G13" sqref="G13"/>
    </sheetView>
  </sheetViews>
  <sheetFormatPr defaultColWidth="8.77734375" defaultRowHeight="14.4" x14ac:dyDescent="0.3"/>
  <cols>
    <col min="1" max="2" width="8.77734375" style="78"/>
    <col min="3" max="4" width="10.21875" style="78" bestFit="1" customWidth="1"/>
    <col min="5" max="5" width="11.77734375" style="78" customWidth="1"/>
    <col min="6" max="6" width="8.6640625" style="78" bestFit="1" customWidth="1"/>
    <col min="7" max="7" width="10.21875" style="78" bestFit="1" customWidth="1"/>
    <col min="8" max="8" width="8.77734375" style="78"/>
    <col min="9" max="12" width="10.21875" style="78" bestFit="1" customWidth="1"/>
    <col min="13" max="16384" width="8.77734375" style="78"/>
  </cols>
  <sheetData>
    <row r="2" spans="2:13" s="76" customFormat="1" x14ac:dyDescent="0.3">
      <c r="B2" s="76" t="s">
        <v>336</v>
      </c>
      <c r="C2" s="76" t="s">
        <v>338</v>
      </c>
      <c r="D2" s="76" t="s">
        <v>339</v>
      </c>
      <c r="E2" s="76" t="s">
        <v>340</v>
      </c>
      <c r="F2" s="76" t="s">
        <v>10</v>
      </c>
      <c r="G2" s="76" t="s">
        <v>13</v>
      </c>
      <c r="H2" s="76" t="s">
        <v>12</v>
      </c>
      <c r="I2" s="76" t="s">
        <v>11</v>
      </c>
      <c r="J2" s="76" t="s">
        <v>9</v>
      </c>
      <c r="K2" s="76" t="s">
        <v>341</v>
      </c>
      <c r="L2" s="76" t="s">
        <v>6</v>
      </c>
    </row>
    <row r="3" spans="2:13" s="77" customFormat="1" x14ac:dyDescent="0.3">
      <c r="B3" s="77" t="s">
        <v>337</v>
      </c>
      <c r="C3" s="77">
        <v>0</v>
      </c>
      <c r="D3" s="77">
        <v>0</v>
      </c>
      <c r="E3" s="77">
        <v>1</v>
      </c>
      <c r="F3" s="77">
        <v>0</v>
      </c>
      <c r="G3" s="77">
        <v>0</v>
      </c>
      <c r="H3" s="77">
        <v>0</v>
      </c>
      <c r="I3" s="77">
        <v>0</v>
      </c>
      <c r="J3" s="77">
        <v>3</v>
      </c>
      <c r="K3" s="77">
        <v>1</v>
      </c>
      <c r="L3" s="77">
        <v>0</v>
      </c>
    </row>
    <row r="4" spans="2:13" s="77" customFormat="1" x14ac:dyDescent="0.3">
      <c r="B4" s="77" t="s">
        <v>342</v>
      </c>
      <c r="C4" s="77">
        <v>1</v>
      </c>
      <c r="D4" s="77">
        <v>1</v>
      </c>
      <c r="E4" s="77">
        <v>1</v>
      </c>
      <c r="F4" s="77">
        <v>0</v>
      </c>
      <c r="G4" s="77">
        <v>1</v>
      </c>
      <c r="H4" s="77">
        <v>0</v>
      </c>
      <c r="I4" s="77">
        <v>3</v>
      </c>
      <c r="J4" s="77">
        <v>2</v>
      </c>
      <c r="K4" s="77">
        <v>0</v>
      </c>
      <c r="L4" s="77">
        <v>0</v>
      </c>
    </row>
    <row r="5" spans="2:13" s="77" customFormat="1" x14ac:dyDescent="0.3">
      <c r="B5" s="77" t="s">
        <v>343</v>
      </c>
      <c r="C5" s="77">
        <v>2</v>
      </c>
      <c r="D5" s="77">
        <v>1</v>
      </c>
      <c r="E5" s="77">
        <v>1</v>
      </c>
      <c r="F5" s="77">
        <v>1</v>
      </c>
      <c r="G5" s="77">
        <v>2</v>
      </c>
      <c r="H5" s="77">
        <v>0</v>
      </c>
      <c r="I5" s="77">
        <v>2</v>
      </c>
      <c r="J5" s="77">
        <v>0</v>
      </c>
      <c r="K5" s="77">
        <v>1</v>
      </c>
      <c r="L5" s="77">
        <v>1</v>
      </c>
    </row>
    <row r="6" spans="2:13" s="77" customFormat="1" x14ac:dyDescent="0.3">
      <c r="B6" s="77" t="s">
        <v>344</v>
      </c>
      <c r="C6" s="77">
        <v>0</v>
      </c>
      <c r="D6" s="77">
        <v>0</v>
      </c>
      <c r="E6" s="77">
        <v>1</v>
      </c>
      <c r="F6" s="77">
        <v>0</v>
      </c>
      <c r="G6" s="77">
        <v>1</v>
      </c>
      <c r="H6" s="77">
        <v>0</v>
      </c>
      <c r="I6" s="77">
        <v>0</v>
      </c>
      <c r="J6" s="77">
        <v>2</v>
      </c>
      <c r="K6" s="77">
        <v>1</v>
      </c>
      <c r="L6" s="77">
        <v>1</v>
      </c>
    </row>
    <row r="7" spans="2:13" s="52" customFormat="1" x14ac:dyDescent="0.3">
      <c r="B7" s="75" t="s">
        <v>80</v>
      </c>
      <c r="C7" s="75">
        <f>SUM(C3:C6)</f>
        <v>3</v>
      </c>
      <c r="D7" s="75">
        <f t="shared" ref="D7:L7" si="0">SUM(D3:D6)</f>
        <v>2</v>
      </c>
      <c r="E7" s="75">
        <f t="shared" si="0"/>
        <v>4</v>
      </c>
      <c r="F7" s="75">
        <f t="shared" si="0"/>
        <v>1</v>
      </c>
      <c r="G7" s="75">
        <f t="shared" si="0"/>
        <v>4</v>
      </c>
      <c r="H7" s="75">
        <f t="shared" si="0"/>
        <v>0</v>
      </c>
      <c r="I7" s="75">
        <f t="shared" si="0"/>
        <v>5</v>
      </c>
      <c r="J7" s="75">
        <f t="shared" si="0"/>
        <v>7</v>
      </c>
      <c r="K7" s="75">
        <f t="shared" si="0"/>
        <v>3</v>
      </c>
      <c r="L7" s="75">
        <f t="shared" si="0"/>
        <v>2</v>
      </c>
    </row>
    <row r="10" spans="2:13" x14ac:dyDescent="0.3">
      <c r="B10" s="81" t="s">
        <v>346</v>
      </c>
      <c r="C10" s="81"/>
      <c r="D10" s="81"/>
      <c r="E10" s="79">
        <f>SUM(C7:L7)</f>
        <v>31</v>
      </c>
      <c r="F10" s="60"/>
    </row>
    <row r="11" spans="2:13" x14ac:dyDescent="0.3">
      <c r="B11" s="81" t="s">
        <v>345</v>
      </c>
      <c r="C11" s="81"/>
      <c r="D11" s="81"/>
      <c r="E11" s="80">
        <v>800</v>
      </c>
      <c r="F11" s="60"/>
    </row>
    <row r="12" spans="2:13" x14ac:dyDescent="0.3">
      <c r="B12" s="81" t="s">
        <v>328</v>
      </c>
      <c r="C12" s="81"/>
      <c r="D12" s="81"/>
      <c r="E12" s="80">
        <f>E10*E11</f>
        <v>24800</v>
      </c>
      <c r="F12" s="60"/>
    </row>
    <row r="15" spans="2:13" x14ac:dyDescent="0.3">
      <c r="M15"/>
    </row>
  </sheetData>
  <mergeCells count="3"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TEAMS</vt:lpstr>
      <vt:lpstr>LIST UPDATED</vt:lpstr>
      <vt:lpstr>MASTERLIST</vt:lpstr>
      <vt:lpstr>EXPENSES</vt:lpstr>
      <vt:lpstr>SUMMARY</vt:lpstr>
      <vt:lpstr>JERSEY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ALLIAZA MAE CAGUIOA</dc:creator>
  <cp:lastModifiedBy>Ella Marie opena</cp:lastModifiedBy>
  <cp:lastPrinted>2025-11-23T00:54:31Z</cp:lastPrinted>
  <dcterms:created xsi:type="dcterms:W3CDTF">2025-11-04T01:45:41Z</dcterms:created>
  <dcterms:modified xsi:type="dcterms:W3CDTF">2026-04-22T06:55:51Z</dcterms:modified>
</cp:coreProperties>
</file>